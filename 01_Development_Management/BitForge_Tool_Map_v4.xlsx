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ases" sheetId="1" state="visible" r:id="rId3"/>
    <sheet name="Tool Map" sheetId="2" state="visible" r:id="rId4"/>
    <sheet name="Intent" sheetId="3" state="visible" r:id="rId5"/>
    <sheet name="Tools" sheetId="4" state="visible" r:id="rId6"/>
    <sheet name="Moved Items" sheetId="5" state="visible" r:id="rId7"/>
  </sheets>
  <definedNames>
    <definedName function="false" hidden="true" localSheetId="2" name="_xlnm._FilterDatabase" vbProcedure="false">Intent!$A$1:$E$69</definedName>
    <definedName function="false" hidden="true" localSheetId="1" name="_xlnm._FilterDatabase" vbProcedure="false">'Tool Map'!$A$1:$J$69</definedName>
    <definedName function="false" hidden="true" localSheetId="3" name="_xlnm._FilterDatabase" vbProcedure="false">Tools!$A$1:$J$37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<sst xmlns="http://schemas.openxmlformats.org/spreadsheetml/2006/main" count="984" uniqueCount="505">
  <si>
    <t xml:space="preserve">BitForge: Open-Source Tool Map by Phase (solo schedule)</t>
  </si>
  <si>
    <t xml:space="preserve">Blue = editable inputs. Work item counts and progress are formulas driven by the Tool Map status column.</t>
  </si>
  <si>
    <t xml:space="preserve">Phase</t>
  </si>
  <si>
    <t xml:space="preserve">Name</t>
  </si>
  <si>
    <t xml:space="preserve">Start</t>
  </si>
  <si>
    <t xml:space="preserve">End</t>
  </si>
  <si>
    <t xml:space="preserve">Planned hours</t>
  </si>
  <si>
    <t xml:space="preserve">Work items</t>
  </si>
  <si>
    <t xml:space="preserve">Done</t>
  </si>
  <si>
    <t xml:space="preserve">In progress</t>
  </si>
  <si>
    <t xml:space="preserve">% done</t>
  </si>
  <si>
    <t xml:space="preserve">P0</t>
  </si>
  <si>
    <t xml:space="preserve">Setup and specs (front-end only)</t>
  </si>
  <si>
    <t xml:space="preserve">P1</t>
  </si>
  <si>
    <t xml:space="preserve">Single-lane core and IHP synthesis</t>
  </si>
  <si>
    <t xml:space="preserve">P2</t>
  </si>
  <si>
    <t xml:space="preserve">Two lanes and host interface (front-end)</t>
  </si>
  <si>
    <t xml:space="preserve">P3</t>
  </si>
  <si>
    <t xml:space="preserve">Verification depth (front-end)</t>
  </si>
  <si>
    <t xml:space="preserve">P4</t>
  </si>
  <si>
    <t xml:space="preserve">Front-end closure and docs</t>
  </si>
  <si>
    <t xml:space="preserve">P5</t>
  </si>
  <si>
    <t xml:space="preserve">Back-end: place-and-route, sign-off and submission</t>
  </si>
  <si>
    <t xml:space="preserve">Total</t>
  </si>
  <si>
    <t xml:space="preserve">Notes</t>
  </si>
  <si>
    <t xml:space="preserve">Revision 3: front-end only in P0. Tiny Tapeout IHP synthesis (flow setup, tile size, first synthesis, area baseline) moves to P1 and is re-run for area in P2 and P3. Place-and-route, timing sign-off, DRC/LVS, gate-level smoke tests and GDS stay in P5. See the Moved Items sheet.</t>
  </si>
  <si>
    <t xml:space="preserve">Source: solo schedule (25 h/week assumption). Hours and dates are planning values and are editable; they were not re-balanced. P1 gains about 8 to 10 hours of synthesis setup work, so consider adding hours to P1.</t>
  </si>
  <si>
    <t xml:space="preserve">RISK: place-and-route and timing are still first measured in P5. Synthesis gives an early area signal but not timing or routability.</t>
  </si>
  <si>
    <t xml:space="preserve">Whether Verilator 5.052 handles the IHP cell models, SVA, covergroups and the register model is unconfirmed; the P0 UVM spike (UVM-047) covers all but the cell models, which P1 checks.</t>
  </si>
  <si>
    <t xml:space="preserve">GitHub and GitHub Actions are not open source; the plan uses Forgejo with Forgejo Actions, or Woodpecker CI.</t>
  </si>
  <si>
    <t xml:space="preserve">(stretch) = only if the previous phase finished on time.</t>
  </si>
  <si>
    <t xml:space="preserve">ID</t>
  </si>
  <si>
    <t xml:space="preserve">Dates</t>
  </si>
  <si>
    <t xml:space="preserve">Work item</t>
  </si>
  <si>
    <t xml:space="preserve">Requirement IDs</t>
  </si>
  <si>
    <t xml:space="preserve">Tools</t>
  </si>
  <si>
    <t xml:space="preserve">How the tool is used</t>
  </si>
  <si>
    <t xml:space="preserve">Owner</t>
  </si>
  <si>
    <t xml:space="preserve">Status</t>
  </si>
  <si>
    <t xml:space="preserve">P0-01</t>
  </si>
  <si>
    <t xml:space="preserve">Create the repo and baselines</t>
  </si>
  <si>
    <t xml:space="preserve">OSS-001, CHG-030</t>
  </si>
  <si>
    <t xml:space="preserve">Git</t>
  </si>
  <si>
    <t xml:space="preserve">Repo, branches, tags such as base-isa-v0.1</t>
  </si>
  <si>
    <t xml:space="preserve">Me</t>
  </si>
  <si>
    <t xml:space="preserve">Not started</t>
  </si>
  <si>
    <t xml:space="preserve">P0-02</t>
  </si>
  <si>
    <t xml:space="preserve">Reproducible front-end toolchain</t>
  </si>
  <si>
    <t xml:space="preserve">UVM-049</t>
  </si>
  <si>
    <t xml:space="preserve">Docker (or Nix)</t>
  </si>
  <si>
    <t xml:space="preserve">Container pinning the front-end tools; synthesis tools added in P1, place-and-route and sign-off tools in P5</t>
  </si>
  <si>
    <t xml:space="preserve">P0-03</t>
  </si>
  <si>
    <t xml:space="preserve">Commit-time checks</t>
  </si>
  <si>
    <t xml:space="preserve">NET-051, CHG-004</t>
  </si>
  <si>
    <t xml:space="preserve">pre-commit, Verible, Python</t>
  </si>
  <si>
    <t xml:space="preserve">Naming lint; block commits that lack a CR ID</t>
  </si>
  <si>
    <t xml:space="preserve">P0-04</t>
  </si>
  <si>
    <t xml:space="preserve">Freeze the ISA spec</t>
  </si>
  <si>
    <t xml:space="preserve">ISA-018</t>
  </si>
  <si>
    <t xml:space="preserve">Python, PyYAML</t>
  </si>
  <si>
    <t xml:space="preserve">Validate isa.yaml (opcode overlaps, field widths)</t>
  </si>
  <si>
    <t xml:space="preserve">P0-05</t>
  </si>
  <si>
    <t xml:space="preserve">Freeze the register map</t>
  </si>
  <si>
    <t xml:space="preserve">HIF-010</t>
  </si>
  <si>
    <t xml:space="preserve">Python, PyYAML, Jinja2</t>
  </si>
  <si>
    <t xml:space="preserve">Validate regmap.yaml; generate first register table</t>
  </si>
  <si>
    <t xml:space="preserve">P0-06</t>
  </si>
  <si>
    <t xml:space="preserve">Lint the RTL</t>
  </si>
  <si>
    <t xml:space="preserve">RTL-005</t>
  </si>
  <si>
    <t xml:space="preserve">Verilator, Verible</t>
  </si>
  <si>
    <t xml:space="preserve">Verilator --lint-only -Wall; zero-warning rule from day one</t>
  </si>
  <si>
    <t xml:space="preserve">P0-07</t>
  </si>
  <si>
    <t xml:space="preserve">UVM spike</t>
  </si>
  <si>
    <t xml:space="preserve">UVM-047</t>
  </si>
  <si>
    <t xml:space="preserve">Verilator, Z3, UVM library, GCC</t>
  </si>
  <si>
    <t xml:space="preserve">Tiny UVM test: virtual-interface agent, randomize() with {}, covergroup with cross, register model, DPI-C, bound SVA module</t>
  </si>
  <si>
    <t xml:space="preserve">P0-08</t>
  </si>
  <si>
    <t xml:space="preserve">Draft the module specs</t>
  </si>
  <si>
    <t xml:space="preserve">ARC-011, SPC-001</t>
  </si>
  <si>
    <t xml:space="preserve">Pandoc</t>
  </si>
  <si>
    <t xml:space="preserve">Section-based spec skeletons following the spec policy</t>
  </si>
  <si>
    <t xml:space="preserve">P0-09</t>
  </si>
  <si>
    <t xml:space="preserve">Waveform viewing</t>
  </si>
  <si>
    <t xml:space="preserve">GTKWave, Surfer</t>
  </si>
  <si>
    <t xml:space="preserve">View spike output</t>
  </si>
  <si>
    <t xml:space="preserve">P1-01</t>
  </si>
  <si>
    <t xml:space="preserve">Lane datapath, decode, imem, I/O synchronizer</t>
  </si>
  <si>
    <t xml:space="preserve">ARC-001, ARC-002, ISA-001 to 010, IO-005</t>
  </si>
  <si>
    <t xml:space="preserve">Write and lint the RTL</t>
  </si>
  <si>
    <t xml:space="preserve">P1-02</t>
  </si>
  <si>
    <t xml:space="preserve">Assembler</t>
  </si>
  <si>
    <t xml:space="preserve">SW-001</t>
  </si>
  <si>
    <t xml:space="preserve">Python, pytest</t>
  </si>
  <si>
    <t xml:space="preserve">Text-to-binary assembler driven by isa.yaml; unit test per opcode</t>
  </si>
  <si>
    <t xml:space="preserve">P1-03</t>
  </si>
  <si>
    <t xml:space="preserve">Cycle-accurate ISS</t>
  </si>
  <si>
    <t xml:space="preserve">SW-003, DIF-007</t>
  </si>
  <si>
    <t xml:space="preserve">GCC, CMake</t>
  </si>
  <si>
    <t xml:space="preserve">Reference model matching the RTL cycle for cycle</t>
  </si>
  <si>
    <t xml:space="preserve">P1-04</t>
  </si>
  <si>
    <t xml:space="preserve">ISS pin waveforms</t>
  </si>
  <si>
    <t xml:space="preserve">SW-003</t>
  </si>
  <si>
    <t xml:space="preserve">GCC, GTKWave, Surfer</t>
  </si>
  <si>
    <t xml:space="preserve">ISS writes VCD; view expected pin timing</t>
  </si>
  <si>
    <t xml:space="preserve">P1-05</t>
  </si>
  <si>
    <t xml:space="preserve">UVM skeleton</t>
  </si>
  <si>
    <t xml:space="preserve">UVM-001 to 006</t>
  </si>
  <si>
    <t xml:space="preserve">Verilator, UVM library</t>
  </si>
  <si>
    <t xml:space="preserve">Environment, interfaces, config, logging (--timing --binary)</t>
  </si>
  <si>
    <t xml:space="preserve">P1-06</t>
  </si>
  <si>
    <t xml:space="preserve">SPI host agent and pin agent</t>
  </si>
  <si>
    <t xml:space="preserve">UVM-007, UVM-008</t>
  </si>
  <si>
    <t xml:space="preserve">Driver, monitor, sequences</t>
  </si>
  <si>
    <t xml:space="preserve">P1-07</t>
  </si>
  <si>
    <t xml:space="preserve">UART partner agent and UART firmware</t>
  </si>
  <si>
    <t xml:space="preserve">UVM-009, PRO-001</t>
  </si>
  <si>
    <t xml:space="preserve">Verilator, UVM library, Python</t>
  </si>
  <si>
    <t xml:space="preserve">Run assembled firmware on the DUT against a UART partner</t>
  </si>
  <si>
    <t xml:space="preserve">P1-08</t>
  </si>
  <si>
    <t xml:space="preserve">Directed opcode tests</t>
  </si>
  <si>
    <t xml:space="preserve">UVM-023</t>
  </si>
  <si>
    <t xml:space="preserve">Verilator, Python</t>
  </si>
  <si>
    <t xml:space="preserve">One test per opcode, tracked by seed</t>
  </si>
  <si>
    <t xml:space="preserve">P1-09</t>
  </si>
  <si>
    <t xml:space="preserve">Smoke regression</t>
  </si>
  <si>
    <t xml:space="preserve">UVM-029, UVM-040</t>
  </si>
  <si>
    <t xml:space="preserve">GNU Make, Python, Forgejo, Woodpecker CI</t>
  </si>
  <si>
    <t xml:space="preserve">One command and a CI job</t>
  </si>
  <si>
    <t xml:space="preserve">P1-10</t>
  </si>
  <si>
    <t xml:space="preserve">Timing diagrams for the spec</t>
  </si>
  <si>
    <t xml:space="preserve">SPC-014</t>
  </si>
  <si>
    <t xml:space="preserve">WaveDrom</t>
  </si>
  <si>
    <t xml:space="preserve">Cycle-by-cycle instruction diagrams</t>
  </si>
  <si>
    <t xml:space="preserve">P1-11</t>
  </si>
  <si>
    <t xml:space="preserve">Get the Tiny Tapeout IHP flow running (synthesis)</t>
  </si>
  <si>
    <t xml:space="preserve">CON-001</t>
  </si>
  <si>
    <t xml:space="preserve">Tiny Tapeout IHP template, LibreLane, Docker</t>
  </si>
  <si>
    <t xml:space="preserve">Add synthesis tools to the container; build the unchanged template through synthesis</t>
  </si>
  <si>
    <t xml:space="preserve">P1-12</t>
  </si>
  <si>
    <t xml:space="preserve">Set the 6x4 tile size</t>
  </si>
  <si>
    <t xml:space="preserve">CON-002</t>
  </si>
  <si>
    <t xml:space="preserve">Tiny Tapeout IHP template</t>
  </si>
  <si>
    <t xml:space="preserve">Set tile size in info.yaml</t>
  </si>
  <si>
    <t xml:space="preserve">P1-13</t>
  </si>
  <si>
    <t xml:space="preserve">First synthesis and area baseline</t>
  </si>
  <si>
    <t xml:space="preserve">PHY-004, CON-004</t>
  </si>
  <si>
    <t xml:space="preserve">Yosys, LibreLane</t>
  </si>
  <si>
    <t xml:space="preserve">Synthesize the single-lane RTL; record cell count against the 65% area budget</t>
  </si>
  <si>
    <t xml:space="preserve">P1-14</t>
  </si>
  <si>
    <t xml:space="preserve">Gate-level cell-model feasibility check</t>
  </si>
  <si>
    <t xml:space="preserve">UVM-038</t>
  </si>
  <si>
    <t xml:space="preserve">Verilator, IHP PDK cell models, Yosys</t>
  </si>
  <si>
    <t xml:space="preserve">Try elaborating the synthesized netlist and standard-cell models in Verilator (unconfirmed)</t>
  </si>
  <si>
    <t xml:space="preserve">P2-01</t>
  </si>
  <si>
    <t xml:space="preserve">Second lane, crossbar, conflict policy, open drain</t>
  </si>
  <si>
    <t xml:space="preserve">ARC-001, IO-001 to 004</t>
  </si>
  <si>
    <t xml:space="preserve">RTL and lint</t>
  </si>
  <si>
    <t xml:space="preserve">P2-02</t>
  </si>
  <si>
    <t xml:space="preserve">FIFOs, event flags, sync start</t>
  </si>
  <si>
    <t xml:space="preserve">ARC-003, 005, 007, 009</t>
  </si>
  <si>
    <t xml:space="preserve">P2-03</t>
  </si>
  <si>
    <t xml:space="preserve">Host SPI slave and registers</t>
  </si>
  <si>
    <t xml:space="preserve">HIF-001 to 004, 006, 009</t>
  </si>
  <si>
    <t xml:space="preserve">P2-04</t>
  </si>
  <si>
    <t xml:space="preserve">Register-model generation</t>
  </si>
  <si>
    <t xml:space="preserve">UVM-015, HIF-010</t>
  </si>
  <si>
    <t xml:space="preserve">Python, Jinja2</t>
  </si>
  <si>
    <t xml:space="preserve">Generate UVM register model and datasheet table from regmap.yaml</t>
  </si>
  <si>
    <t xml:space="preserve">P2-05</t>
  </si>
  <si>
    <t xml:space="preserve">Register tests</t>
  </si>
  <si>
    <t xml:space="preserve">UVM-015</t>
  </si>
  <si>
    <t xml:space="preserve">Reset-value and bit-bash tests</t>
  </si>
  <si>
    <t xml:space="preserve">P2-06</t>
  </si>
  <si>
    <t xml:space="preserve">SPI and I2C partner agents</t>
  </si>
  <si>
    <t xml:space="preserve">UVM-010, UVM-011</t>
  </si>
  <si>
    <t xml:space="preserve">Partner models with error injection</t>
  </si>
  <si>
    <t xml:space="preserve">P2-07</t>
  </si>
  <si>
    <t xml:space="preserve">SPI/I2C firmware and two-lane demo</t>
  </si>
  <si>
    <t xml:space="preserve">PRO-002, 003, 011</t>
  </si>
  <si>
    <t xml:space="preserve">Python</t>
  </si>
  <si>
    <t xml:space="preserve">Assemble and simulate firmware with the assembler and ISS</t>
  </si>
  <si>
    <t xml:space="preserve">P2-08</t>
  </si>
  <si>
    <t xml:space="preserve">FIFO and protocol scoreboards</t>
  </si>
  <si>
    <t xml:space="preserve">UVM-018, UVM-019</t>
  </si>
  <si>
    <t xml:space="preserve">Data and ordering checks</t>
  </si>
  <si>
    <t xml:space="preserve">P2-09</t>
  </si>
  <si>
    <t xml:space="preserve">Host Python library</t>
  </si>
  <si>
    <t xml:space="preserve">SW-004</t>
  </si>
  <si>
    <t xml:space="preserve">Load programs and read FIFOs; test against simulation</t>
  </si>
  <si>
    <t xml:space="preserve">P2-10</t>
  </si>
  <si>
    <t xml:space="preserve">Block diagrams</t>
  </si>
  <si>
    <t xml:space="preserve">SPC-013</t>
  </si>
  <si>
    <t xml:space="preserve">Graphviz, Mermaid</t>
  </si>
  <si>
    <t xml:space="preserve">Diagrams using names from the RTL</t>
  </si>
  <si>
    <t xml:space="preserve">P2-11</t>
  </si>
  <si>
    <t xml:space="preserve">Re-run synthesis for area (no place-and-route)</t>
  </si>
  <si>
    <t xml:space="preserve">PHY-004</t>
  </si>
  <si>
    <t xml:space="preserve">Area and flip-flop count after the second lane, FIFOs and host interface</t>
  </si>
  <si>
    <t xml:space="preserve">P3-01</t>
  </si>
  <si>
    <t xml:space="preserve">DPI reference-model scoreboard</t>
  </si>
  <si>
    <t xml:space="preserve">UVM-016, UVM-017</t>
  </si>
  <si>
    <t xml:space="preserve">Verilator, GCC</t>
  </si>
  <si>
    <t xml:space="preserve">Compare PC, registers and pins every cycle against the C ISS</t>
  </si>
  <si>
    <t xml:space="preserve">P3-02</t>
  </si>
  <si>
    <t xml:space="preserve">Constrained-random instruction generator</t>
  </si>
  <si>
    <t xml:space="preserve">UVM-022</t>
  </si>
  <si>
    <t xml:space="preserve">Verilator, Z3, Python</t>
  </si>
  <si>
    <t xml:space="preserve">Legal random programs from isa.yaml; set VERILATOR_SOLVER as needed</t>
  </si>
  <si>
    <t xml:space="preserve">P3-03</t>
  </si>
  <si>
    <t xml:space="preserve">Covergroups</t>
  </si>
  <si>
    <t xml:space="preserve">UVM-031, UVM-032</t>
  </si>
  <si>
    <t xml:space="preserve">Verilator</t>
  </si>
  <si>
    <t xml:space="preserve">Opcode, JMP, FIFO and pin coverage (--coverage)</t>
  </si>
  <si>
    <t xml:space="preserve">P3-04</t>
  </si>
  <si>
    <t xml:space="preserve">Coverage merge and reports</t>
  </si>
  <si>
    <t xml:space="preserve">UVM-041</t>
  </si>
  <si>
    <t xml:space="preserve">verilator_coverage, Python</t>
  </si>
  <si>
    <t xml:space="preserve">Merge across seeds; closure report</t>
  </si>
  <si>
    <t xml:space="preserve">P3-05</t>
  </si>
  <si>
    <t xml:space="preserve">SVA assertions</t>
  </si>
  <si>
    <t xml:space="preserve">UVM-034</t>
  </si>
  <si>
    <t xml:space="preserve">Checks on FIFO, FSM, reset and pin conflicts via bound SV modules</t>
  </si>
  <si>
    <t xml:space="preserve">P3-06</t>
  </si>
  <si>
    <t xml:space="preserve">Optional formal checks (stretch)</t>
  </si>
  <si>
    <t xml:space="preserve">UVM-036</t>
  </si>
  <si>
    <t xml:space="preserve">SymbiYosys, Yosys</t>
  </si>
  <si>
    <t xml:space="preserve">FIFO properties only; SymbiYosys supports a subset of SVA</t>
  </si>
  <si>
    <t xml:space="preserve">P3-07</t>
  </si>
  <si>
    <t xml:space="preserve">HIF stress, reset, fault and multi-lane tests</t>
  </si>
  <si>
    <t xml:space="preserve">UVM-025 to 028</t>
  </si>
  <si>
    <t xml:space="preserve">Random and directed tests</t>
  </si>
  <si>
    <t xml:space="preserve">P3-08</t>
  </si>
  <si>
    <t xml:space="preserve">Timing checker (stretch)</t>
  </si>
  <si>
    <t xml:space="preserve">UVM-020</t>
  </si>
  <si>
    <t xml:space="preserve">Compare edge intervals with ISA cycle counts</t>
  </si>
  <si>
    <t xml:space="preserve">P3-09</t>
  </si>
  <si>
    <t xml:space="preserve">JTAG/SWD reference hosts (stretch)</t>
  </si>
  <si>
    <t xml:space="preserve">PRO-004, PRO-005</t>
  </si>
  <si>
    <t xml:space="preserve">OpenOCD, pyOCD</t>
  </si>
  <si>
    <t xml:space="preserve">Reference hosts to check JTAG/SWD behavior</t>
  </si>
  <si>
    <t xml:space="preserve">P3-10</t>
  </si>
  <si>
    <t xml:space="preserve">Debug failing seeds</t>
  </si>
  <si>
    <t xml:space="preserve">Waveforms from failing seeds</t>
  </si>
  <si>
    <t xml:space="preserve">P3-11</t>
  </si>
  <si>
    <t xml:space="preserve">Area check after each feature merge</t>
  </si>
  <si>
    <t xml:space="preserve">P3-12</t>
  </si>
  <si>
    <t xml:space="preserve">MIN profile fallback proven (synthesis only)</t>
  </si>
  <si>
    <t xml:space="preserve">PHY-006</t>
  </si>
  <si>
    <t xml:space="preserve">Prove the small profile fits if STD does not</t>
  </si>
  <si>
    <t xml:space="preserve">P4-01</t>
  </si>
  <si>
    <t xml:space="preserve">Coverage holes</t>
  </si>
  <si>
    <t xml:space="preserve">UVM-033</t>
  </si>
  <si>
    <t xml:space="preserve">verilator_coverage, Python, Verilator</t>
  </si>
  <si>
    <t xml:space="preserve">Find holes, add tests, record exclusions</t>
  </si>
  <si>
    <t xml:space="preserve">P4-02</t>
  </si>
  <si>
    <t xml:space="preserve">Synthesizable-subset review</t>
  </si>
  <si>
    <t xml:space="preserve">RTL-001, RTL-002</t>
  </si>
  <si>
    <t xml:space="preserve">Verible, Verilator</t>
  </si>
  <si>
    <t xml:space="preserve">Code review and lint for the Verilog-2005 synthesizable rules; complements the synthesis runs from P1</t>
  </si>
  <si>
    <t xml:space="preserve">P4-03</t>
  </si>
  <si>
    <t xml:space="preserve">Front-end freeze and RTL release candidate</t>
  </si>
  <si>
    <t xml:space="preserve">CHG-030, CHG-031</t>
  </si>
  <si>
    <t xml:space="preserve">Git, GNU Make</t>
  </si>
  <si>
    <t xml:space="preserve">Tag the RTL candidate after full regression</t>
  </si>
  <si>
    <t xml:space="preserve">P4-04</t>
  </si>
  <si>
    <t xml:space="preserve">Protocol rate table (target clock)</t>
  </si>
  <si>
    <t xml:space="preserve">TIM-006</t>
  </si>
  <si>
    <t xml:space="preserve">Generate from regression results; update with real fmax in P5</t>
  </si>
  <si>
    <t xml:space="preserve">P4-05</t>
  </si>
  <si>
    <t xml:space="preserve">Datasheet build (draft)</t>
  </si>
  <si>
    <t xml:space="preserve">OSS-002, DSU-003, DSU-022</t>
  </si>
  <si>
    <t xml:space="preserve">Pandoc, Python, Jinja2, WeasyPrint</t>
  </si>
  <si>
    <t xml:space="preserve">Generate tables from YAML; CI compares with committed copy</t>
  </si>
  <si>
    <t xml:space="preserve">P4-06</t>
  </si>
  <si>
    <t xml:space="preserve">Diagrams and timing figures</t>
  </si>
  <si>
    <t xml:space="preserve">Graphviz, Mermaid, WaveDrom</t>
  </si>
  <si>
    <t xml:space="preserve">Figures</t>
  </si>
  <si>
    <t xml:space="preserve">P4-07</t>
  </si>
  <si>
    <t xml:space="preserve">Tutorial</t>
  </si>
  <si>
    <t xml:space="preserve">OSS-003</t>
  </si>
  <si>
    <t xml:space="preserve">Pandoc, Python</t>
  </si>
  <si>
    <t xml:space="preserve">UART in 10 instructions with a runnable example (assembler and ISS)</t>
  </si>
  <si>
    <t xml:space="preserve">P4-08</t>
  </si>
  <si>
    <t xml:space="preserve">Verification plan sign-off (front-end)</t>
  </si>
  <si>
    <t xml:space="preserve">UVM-045</t>
  </si>
  <si>
    <t xml:space="preserve">Python, Git</t>
  </si>
  <si>
    <t xml:space="preserve">Trace script checks every requirement has a test</t>
  </si>
  <si>
    <t xml:space="preserve">P5-01</t>
  </si>
  <si>
    <t xml:space="preserve">Run the full RTL-to-GDS flow with the real RTL</t>
  </si>
  <si>
    <t xml:space="preserve">Add place-and-route and sign-off tools to the container; run the full flow</t>
  </si>
  <si>
    <t xml:space="preserve">P5-02</t>
  </si>
  <si>
    <t xml:space="preserve">RTL fixes from place-and-route findings</t>
  </si>
  <si>
    <t xml:space="preserve">CHG-020, CHG-022</t>
  </si>
  <si>
    <t xml:space="preserve">Verilator, Verible, Git</t>
  </si>
  <si>
    <t xml:space="preserve">Change requests for timing or congestion problems; rerun regression</t>
  </si>
  <si>
    <t xml:space="preserve">P5-03</t>
  </si>
  <si>
    <t xml:space="preserve">First place-and-route trial</t>
  </si>
  <si>
    <t xml:space="preserve">PHY-002</t>
  </si>
  <si>
    <t xml:space="preserve">LibreLane, OpenROAD, Yosys</t>
  </si>
  <si>
    <t xml:space="preserve">Full flow on the 6x4 tile</t>
  </si>
  <si>
    <t xml:space="preserve">P5-04</t>
  </si>
  <si>
    <t xml:space="preserve">Timing and layout checks</t>
  </si>
  <si>
    <t xml:space="preserve">PHY-003</t>
  </si>
  <si>
    <t xml:space="preserve">OpenSTA, KLayout</t>
  </si>
  <si>
    <t xml:space="preserve">Slack report and layout inspection</t>
  </si>
  <si>
    <t xml:space="preserve">P5-05</t>
  </si>
  <si>
    <t xml:space="preserve">Gate-level smoke tests</t>
  </si>
  <si>
    <t xml:space="preserve">Yosys, LibreLane, Verilator, IHP PDK cell models</t>
  </si>
  <si>
    <t xml:space="preserve">Zero-delay functional run of gls_smoke; timing comes from STA</t>
  </si>
  <si>
    <t xml:space="preserve">P5-06</t>
  </si>
  <si>
    <t xml:space="preserve">Timing sign-off</t>
  </si>
  <si>
    <t xml:space="preserve">OpenSTA</t>
  </si>
  <si>
    <t xml:space="preserve">Setup and hold at the target clock</t>
  </si>
  <si>
    <t xml:space="preserve">P5-07</t>
  </si>
  <si>
    <t xml:space="preserve">Area check</t>
  </si>
  <si>
    <t xml:space="preserve">PHY-001</t>
  </si>
  <si>
    <t xml:space="preserve">Final area at or below 65% of nominal tile area</t>
  </si>
  <si>
    <t xml:space="preserve">P5-08</t>
  </si>
  <si>
    <t xml:space="preserve">DRC</t>
  </si>
  <si>
    <t xml:space="preserve">KLayout, Magic</t>
  </si>
  <si>
    <t xml:space="preserve">Clean DRC on final GDS; Magic is an optional second check</t>
  </si>
  <si>
    <t xml:space="preserve">P5-09</t>
  </si>
  <si>
    <t xml:space="preserve">LVS</t>
  </si>
  <si>
    <t xml:space="preserve">KLayout, Netgen</t>
  </si>
  <si>
    <t xml:space="preserve">Layout matches netlist</t>
  </si>
  <si>
    <t xml:space="preserve">P5-10</t>
  </si>
  <si>
    <t xml:space="preserve">Final GDS</t>
  </si>
  <si>
    <t xml:space="preserve">LibreLane, OpenROAD</t>
  </si>
  <si>
    <t xml:space="preserve">Final run and artifacts</t>
  </si>
  <si>
    <t xml:space="preserve">P5-11</t>
  </si>
  <si>
    <t xml:space="preserve">Datasheet numbers update</t>
  </si>
  <si>
    <t xml:space="preserve">DSU-014, TIM-001, TIM-006</t>
  </si>
  <si>
    <t xml:space="preserve">Python, Jinja2, Pandoc</t>
  </si>
  <si>
    <t xml:space="preserve">Insert real fmax, area and rate table; cite report names</t>
  </si>
  <si>
    <t xml:space="preserve">P5-12</t>
  </si>
  <si>
    <t xml:space="preserve">Power estimate (stretch)</t>
  </si>
  <si>
    <t xml:space="preserve">PHY-005</t>
  </si>
  <si>
    <t xml:space="preserve">OpenROAD</t>
  </si>
  <si>
    <t xml:space="preserve">Estimate only</t>
  </si>
  <si>
    <t xml:space="preserve">P5-13</t>
  </si>
  <si>
    <t xml:space="preserve">Final regression and release</t>
  </si>
  <si>
    <t xml:space="preserve">OSS-004</t>
  </si>
  <si>
    <t xml:space="preserve">GNU Make, Forgejo, Woodpecker CI, Git</t>
  </si>
  <si>
    <t xml:space="preserve">rel-v1.0 tag with datasheet hash recorded</t>
  </si>
  <si>
    <t xml:space="preserve">P5-14</t>
  </si>
  <si>
    <t xml:space="preserve">Submission package</t>
  </si>
  <si>
    <t xml:space="preserve">CON-006</t>
  </si>
  <si>
    <t xml:space="preserve">Git, LibreLane, Tiny Tapeout IHP template</t>
  </si>
  <si>
    <t xml:space="preserve">Final repo for Tiny Tapeout submission</t>
  </si>
  <si>
    <t xml:space="preserve">Intent (why this work item exists)</t>
  </si>
  <si>
    <t xml:space="preserve">Create one traceable source of truth so every change, baseline and release can be reproduced and audited.</t>
  </si>
  <si>
    <t xml:space="preserve">Make every build and simulation reproducible with identical tool versions, so results do not depend on the machine.</t>
  </si>
  <si>
    <t xml:space="preserve">Catch naming and change-control violations at commit time, when they are cheapest to fix.</t>
  </si>
  <si>
    <t xml:space="preserve">Fix the instruction set as one machine-readable contract so the RTL, assembler, simulator and tests cannot drift apart.</t>
  </si>
  <si>
    <t xml:space="preserve">Fix the host-visible register contract early so RTL, register model, firmware library and datasheet come from one source.</t>
  </si>
  <si>
    <t xml:space="preserve">Keep the RTL clean and synthesizable from the first line instead of cleaning up a pile of warnings later.</t>
  </si>
  <si>
    <t xml:space="preserve">Learn in hours, not weeks, whether Verilator 5.052 can run the planned UVM environment, and choose the fallback early if not.</t>
  </si>
  <si>
    <t xml:space="preserve">Write down each block's intended behavior before coding so implementation and tests have a reference and design errors surface in review.</t>
  </si>
  <si>
    <t xml:space="preserve">Confirm waveform debugging works from the start so failures can be inspected without delay.</t>
  </si>
  <si>
    <t xml:space="preserve">Build the core lane engine that executes instructions in deterministic single cycles, the foundation everything else depends on.</t>
  </si>
  <si>
    <t xml:space="preserve">Let firmware be written as text and turned into the exact binary the chip runs, so protocols are developed without hand-encoding opcodes.</t>
  </si>
  <si>
    <t xml:space="preserve">Provide a cycle-accurate golden reference of what a lane should do, used for firmware development and as the scoreboard reference.</t>
  </si>
  <si>
    <t xml:space="preserve">Show expected pin timing before running the RTL, to validate protocol firmware and make failures easy to compare.</t>
  </si>
  <si>
    <t xml:space="preserve">Create the reusable verification structure early so every later agent, sequence and test plugs into it.</t>
  </si>
  <si>
    <t xml:space="preserve">Provide the means to load programs, configure the chip, and drive and observe pins, which every test needs.</t>
  </si>
  <si>
    <t xml:space="preserve">Prove the architecture end to end with the simplest protocol: firmware runs on the RTL and talks to an independent partner.</t>
  </si>
  <si>
    <t xml:space="preserve">Confirm each instruction behaves as specified so later failures are not blamed on basic decode errors.</t>
  </si>
  <si>
    <t xml:space="preserve">Give a fast pass/fail check on every commit so breakage is caught immediately.</t>
  </si>
  <si>
    <t xml:space="preserve">Document cycle-level behavior precisely so timing guarantees are unambiguous and testable.</t>
  </si>
  <si>
    <t xml:space="preserve">Prove the Tiny Tapeout IHP flow works in our environment before design effort depends on it.</t>
  </si>
  <si>
    <t xml:space="preserve">Lock in the 6x4 area envelope that all budgets are measured against.</t>
  </si>
  <si>
    <t xml:space="preserve">Obtain a real cell-count and area baseline for the core to see how much of the budget remains.</t>
  </si>
  <si>
    <t xml:space="preserve">Learn early whether gate-level simulation is practical with Verilator and the IHP cell models, so the plan can change if it is not.</t>
  </si>
  <si>
    <t xml:space="preserve">Add multi-lane operation and flexible pin assignment so protocols needing a clock lane and a data lane are possible, with a defined outcome when lanes collide on a pin.</t>
  </si>
  <si>
    <t xml:space="preserve">Let lanes exchange data with the host, coordinate with each other, and start together on the same clock edge.</t>
  </si>
  <si>
    <t xml:space="preserve">Give the outside world one controlled path to load programs, configure the chip and read data.</t>
  </si>
  <si>
    <t xml:space="preserve">Keep registers consistent across RTL, tests and datasheet by generating them from a single source.</t>
  </si>
  <si>
    <t xml:space="preserve">Verify the register interface matches the spec, catching reset-value and access bugs early.</t>
  </si>
  <si>
    <t xml:space="preserve">Provide independent protocol partners that expose firmware errors, including bus-level corner cases such as clock stretching.</t>
  </si>
  <si>
    <t xml:space="preserve">Demonstrate the central goal: new protocols as firmware, including one that uses more than one lane.</t>
  </si>
  <si>
    <t xml:space="preserve">Check data and ordering automatically instead of relying on visual inspection.</t>
  </si>
  <si>
    <t xml:space="preserve">Give users and tests a practical way to load firmware and operate the chip from a PC or microcontroller.</t>
  </si>
  <si>
    <t xml:space="preserve">Make the architecture reviewable and keep the specification's names matching the RTL.</t>
  </si>
  <si>
    <t xml:space="preserve">Check that added features have not blown the area budget while changes are still cheap.</t>
  </si>
  <si>
    <t xml:space="preserve">Compare the RTL with the golden simulator every cycle so subtle timing and state errors are found automatically.</t>
  </si>
  <si>
    <t xml:space="preserve">Reach instruction sequences nobody thought to write by hand.</t>
  </si>
  <si>
    <t xml:space="preserve">Measure what has actually been tested so missing tests become visible.</t>
  </si>
  <si>
    <t xml:space="preserve">Combine results from many seeds into one view for closure decisions.</t>
  </si>
  <si>
    <t xml:space="preserve">Encode design rules as always-on checks so violations are flagged the moment they occur.</t>
  </si>
  <si>
    <t xml:space="preserve">Prove selected properties for all inputs where simulation can only sample (stretch).</t>
  </si>
  <si>
    <t xml:space="preserve">Test robustness against unusual host behavior, resets and multi-lane contention.</t>
  </si>
  <si>
    <t xml:space="preserve">Verify the cycle-exact timing promise independently of the scoreboard (stretch).</t>
  </si>
  <si>
    <t xml:space="preserve">Check the optional protocols against real-world reference implementations (stretch).</t>
  </si>
  <si>
    <t xml:space="preserve">Make failures reproducible and diagnosable from their seeds.</t>
  </si>
  <si>
    <t xml:space="preserve">Keep area in check as verification-driven fixes and features land.</t>
  </si>
  <si>
    <t xml:space="preserve">Ensure a smaller fallback design is known to fit if the standard one does not.</t>
  </si>
  <si>
    <t xml:space="preserve">Close the gap between 'tests pass' and 'tested enough' with targeted tests or documented exclusions.</t>
  </si>
  <si>
    <t xml:space="preserve">Reduce the risk that RTL which simulates correctly misbehaves or fails in synthesis.</t>
  </si>
  <si>
    <t xml:space="preserve">Establish a stable, tagged RTL baseline so back-end work is not chasing a moving target.</t>
  </si>
  <si>
    <t xml:space="preserve">Publish the speeds each protocol can really reach so users know the limits.</t>
  </si>
  <si>
    <t xml:space="preserve">Create the user-facing contract while details are fresh, generated from the same sources as the RTL.</t>
  </si>
  <si>
    <t xml:space="preserve">Make the documentation understandable without reading the RTL.</t>
  </si>
  <si>
    <t xml:space="preserve">Prove a newcomer can write and run a new protocol using only the public documentation.</t>
  </si>
  <si>
    <t xml:space="preserve">Show that every requirement is covered by a test, so completeness is evidenced rather than assumed.</t>
  </si>
  <si>
    <t xml:space="preserve">Move from the empty template to the actual design for place-and-route and sign-off.</t>
  </si>
  <si>
    <t xml:space="preserve">Provide a controlled way to fix problems found in physical design without destabilizing verified behavior.</t>
  </si>
  <si>
    <t xml:space="preserve">Find out whether the design routes inside the 6x4 tile.</t>
  </si>
  <si>
    <t xml:space="preserve">See where timing is tight and whether the layout is sane.</t>
  </si>
  <si>
    <t xml:space="preserve">Confirm the synthesized netlist behaves like the RTL on the core protocols.</t>
  </si>
  <si>
    <t xml:space="preserve">Show the chip meets setup and hold at the target clock.</t>
  </si>
  <si>
    <t xml:space="preserve">Confirm the design fits the budget with margin for tool variation.</t>
  </si>
  <si>
    <t xml:space="preserve">Ensure the layout obeys foundry rules so it can be fabricated.</t>
  </si>
  <si>
    <t xml:space="preserve">Confirm the layout implements the intended netlist.</t>
  </si>
  <si>
    <t xml:space="preserve">Produce the file that goes to fabrication.</t>
  </si>
  <si>
    <t xml:space="preserve">Replace targets with measured values so the documentation is true to the chip.</t>
  </si>
  <si>
    <t xml:space="preserve">Give users a rough power figure for board design (stretch).</t>
  </si>
  <si>
    <t xml:space="preserve">Release only a state proven by a full regression pass, with an immutable tag.</t>
  </si>
  <si>
    <t xml:space="preserve">Deliver a complete, reproducible, open-source submission by the deadline.</t>
  </si>
  <si>
    <t xml:space="preserve">Tool</t>
  </si>
  <si>
    <t xml:space="preserve">Category</t>
  </si>
  <si>
    <t xml:space="preserve">Total work items</t>
  </si>
  <si>
    <t xml:space="preserve">Match text</t>
  </si>
  <si>
    <t xml:space="preserve">Version control</t>
  </si>
  <si>
    <t xml:space="preserve">Environment</t>
  </si>
  <si>
    <t xml:space="preserve">Docker</t>
  </si>
  <si>
    <t xml:space="preserve">Physical flow</t>
  </si>
  <si>
    <t xml:space="preserve">LibreLane</t>
  </si>
  <si>
    <t xml:space="preserve">Yosys</t>
  </si>
  <si>
    <t xml:space="preserve">Synthesis</t>
  </si>
  <si>
    <t xml:space="preserve">Timing</t>
  </si>
  <si>
    <t xml:space="preserve">KLayout</t>
  </si>
  <si>
    <t xml:space="preserve">Layout / DRC / LVS</t>
  </si>
  <si>
    <t xml:space="preserve">Magic</t>
  </si>
  <si>
    <t xml:space="preserve">Layout / DRC</t>
  </si>
  <si>
    <t xml:space="preserve">Netgen</t>
  </si>
  <si>
    <t xml:space="preserve">IHP PDK cell models</t>
  </si>
  <si>
    <t xml:space="preserve">PDK</t>
  </si>
  <si>
    <t xml:space="preserve">Simulation / lint / coverage</t>
  </si>
  <si>
    <t xml:space="preserve">verilator_coverage</t>
  </si>
  <si>
    <t xml:space="preserve">Coverage</t>
  </si>
  <si>
    <t xml:space="preserve">UVM library</t>
  </si>
  <si>
    <t xml:space="preserve">Verification</t>
  </si>
  <si>
    <t xml:space="preserve">Z3</t>
  </si>
  <si>
    <t xml:space="preserve">Constraint solver</t>
  </si>
  <si>
    <t xml:space="preserve">SymbiYosys</t>
  </si>
  <si>
    <t xml:space="preserve">Formal</t>
  </si>
  <si>
    <t xml:space="preserve">GCC</t>
  </si>
  <si>
    <t xml:space="preserve">C toolchain</t>
  </si>
  <si>
    <t xml:space="preserve">CMake</t>
  </si>
  <si>
    <t xml:space="preserve">GNU Make</t>
  </si>
  <si>
    <t xml:space="preserve">Build</t>
  </si>
  <si>
    <t xml:space="preserve">Scripting</t>
  </si>
  <si>
    <t xml:space="preserve">PyYAML</t>
  </si>
  <si>
    <t xml:space="preserve">Jinja2</t>
  </si>
  <si>
    <t xml:space="preserve">Generation</t>
  </si>
  <si>
    <t xml:space="preserve">pytest</t>
  </si>
  <si>
    <t xml:space="preserve">Testing</t>
  </si>
  <si>
    <t xml:space="preserve">Verible</t>
  </si>
  <si>
    <t xml:space="preserve">Lint</t>
  </si>
  <si>
    <t xml:space="preserve">pre-commit</t>
  </si>
  <si>
    <t xml:space="preserve">Quality gate</t>
  </si>
  <si>
    <t xml:space="preserve">GTKWave</t>
  </si>
  <si>
    <t xml:space="preserve">Waveforms</t>
  </si>
  <si>
    <t xml:space="preserve">Surfer</t>
  </si>
  <si>
    <t xml:space="preserve">Diagrams</t>
  </si>
  <si>
    <t xml:space="preserve">Graphviz</t>
  </si>
  <si>
    <t xml:space="preserve">Mermaid</t>
  </si>
  <si>
    <t xml:space="preserve">Documents</t>
  </si>
  <si>
    <t xml:space="preserve">WeasyPrint</t>
  </si>
  <si>
    <t xml:space="preserve">Forgejo</t>
  </si>
  <si>
    <t xml:space="preserve">CI / tracker</t>
  </si>
  <si>
    <t xml:space="preserve">Woodpecker CI</t>
  </si>
  <si>
    <t xml:space="preserve">CI</t>
  </si>
  <si>
    <t xml:space="preserve">OpenOCD</t>
  </si>
  <si>
    <t xml:space="preserve">Stretch protocols</t>
  </si>
  <si>
    <t xml:space="preserve">pyOCD</t>
  </si>
  <si>
    <t xml:space="preserve">Counts are the number of Tool Map work items whose Tools cell mentions the tool (text match). Yosys also matches SymbiYosys, and Verilator also matches verilator_coverage.</t>
  </si>
  <si>
    <t xml:space="preserve">Item</t>
  </si>
  <si>
    <t xml:space="preserve">v1 plan</t>
  </si>
  <si>
    <t xml:space="preserve">v2 plan</t>
  </si>
  <si>
    <t xml:space="preserve">v3 plan (now)</t>
  </si>
  <si>
    <t xml:space="preserve">Effect / mitigation</t>
  </si>
  <si>
    <t xml:space="preserve">Tiny Tapeout flow running</t>
  </si>
  <si>
    <t xml:space="preserve">Template built through synthesis in P1; full flow with real RTL in P5</t>
  </si>
  <si>
    <t xml:space="preserve">Set 6x4 tile size</t>
  </si>
  <si>
    <t xml:space="preserve">Low risk</t>
  </si>
  <si>
    <t xml:space="preserve">Early area signal on the single-lane core</t>
  </si>
  <si>
    <t xml:space="preserve">Elaborate the synthesized netlist and cell models in Verilator; result decides whether gate-level smoke tests in P5 are possible</t>
  </si>
  <si>
    <t xml:space="preserve">Re-run synthesis for area at each merge</t>
  </si>
  <si>
    <t xml:space="preserve">P1 to P3</t>
  </si>
  <si>
    <t xml:space="preserve">P2 and P3</t>
  </si>
  <si>
    <t xml:space="preserve">Yosys and LibreLane synthesis only, no place-and-route</t>
  </si>
  <si>
    <t xml:space="preserve">MIN profile fallback proven</t>
  </si>
  <si>
    <t xml:space="preserve">Synthesis only; routability still unknown</t>
  </si>
  <si>
    <t xml:space="preserve">Routing congestion found late</t>
  </si>
  <si>
    <t xml:space="preserve">Fmax unknown until P5; rate table in P4 uses the target clock</t>
  </si>
  <si>
    <t xml:space="preserve">Gate-level smoke tests, timing sign-off, area check, DRC, LVS, final GDS</t>
  </si>
  <si>
    <t xml:space="preserve">UVM-038, PHY-001 to 003</t>
  </si>
  <si>
    <t xml:space="preserve">P5 carries all place-and-route and sign-off closure</t>
  </si>
  <si>
    <t xml:space="preserve">Datasheet build, figures, tutorial, vPlan sign-off</t>
  </si>
  <si>
    <t xml:space="preserve">OSS-002, OSS-003, UVM-045</t>
  </si>
  <si>
    <t xml:space="preserve">Moved earlier to free P5; datasheet numbers updated in P5</t>
  </si>
  <si>
    <t xml:space="preserve">Unchanged</t>
  </si>
  <si>
    <t xml:space="preserve">Process note: moving milestone scope and revising PHY-004 and PHY-006 are Major changes under the development policies (CHG-002, CHG-031). Raise a CR and observe the 24-hour cooling-off.</t>
  </si>
  <si>
    <t xml:space="preserve">Mitigation options if P5 looks too tight: (1) move the front-end freeze earlier, e.g. 12-13, and start P5 on 12-14; (2) run one early place-and-route trial after the P1 synthesis as a go/no-go check (about 2 to 3 hours); (3) pre-agree the MIN profile as the submission fallback.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</si>
</sst>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General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s">
        <v>12</v>
      </c>
      <c r="C5" s="6" t="n">
        <v>46300</v>
      </c>
      <c r="D5" s="6" t="n">
        <v>46313</v>
      </c>
      <c r="E5" s="5" t="n">
        <v>50</v>
      </c>
      <c r="F5" s="7" t="n">
        <f aca="false">COUNTIF('Tool Map'!$B:$B,A5)</f>
        <v>9</v>
      </c>
      <c r="G5" s="7" t="n">
        <f aca="false">COUNTIFS('Tool Map'!$B:$B,A5,'Tool Map'!$I:$I,"Done")</f>
        <v>0</v>
      </c>
      <c r="H5" s="7" t="n">
        <f aca="false">COUNTIFS('Tool Map'!$B:$B,A5,'Tool Map'!$I:$I,"In progress")</f>
        <v>0</v>
      </c>
      <c r="I5" s="8" t="n">
        <f aca="false">IF(F5=0,0,G5/F5)</f>
        <v>0</v>
      </c>
    </row>
    <row r="6" customFormat="false" ht="15" hidden="false" customHeight="false" outlineLevel="0" collapsed="false">
      <c r="A6" s="4" t="s">
        <v>13</v>
      </c>
      <c r="B6" s="5" t="s">
        <v>14</v>
      </c>
      <c r="C6" s="6" t="n">
        <v>46314</v>
      </c>
      <c r="D6" s="6" t="n">
        <v>46334</v>
      </c>
      <c r="E6" s="5" t="n">
        <v>75</v>
      </c>
      <c r="F6" s="7" t="n">
        <f aca="false">COUNTIF('Tool Map'!$B:$B,A6)</f>
        <v>14</v>
      </c>
      <c r="G6" s="7" t="n">
        <f aca="false">COUNTIFS('Tool Map'!$B:$B,A6,'Tool Map'!$I:$I,"Done")</f>
        <v>0</v>
      </c>
      <c r="H6" s="7" t="n">
        <f aca="false">COUNTIFS('Tool Map'!$B:$B,A6,'Tool Map'!$I:$I,"In progress")</f>
        <v>0</v>
      </c>
      <c r="I6" s="8" t="n">
        <f aca="false">IF(F6=0,0,G6/F6)</f>
        <v>0</v>
      </c>
    </row>
    <row r="7" customFormat="false" ht="15" hidden="false" customHeight="false" outlineLevel="0" collapsed="false">
      <c r="A7" s="4" t="s">
        <v>15</v>
      </c>
      <c r="B7" s="5" t="s">
        <v>16</v>
      </c>
      <c r="C7" s="6" t="n">
        <v>46335</v>
      </c>
      <c r="D7" s="6" t="n">
        <v>46355</v>
      </c>
      <c r="E7" s="5" t="n">
        <v>75</v>
      </c>
      <c r="F7" s="7" t="n">
        <f aca="false">COUNTIF('Tool Map'!$B:$B,A7)</f>
        <v>11</v>
      </c>
      <c r="G7" s="7" t="n">
        <f aca="false">COUNTIFS('Tool Map'!$B:$B,A7,'Tool Map'!$I:$I,"Done")</f>
        <v>0</v>
      </c>
      <c r="H7" s="7" t="n">
        <f aca="false">COUNTIFS('Tool Map'!$B:$B,A7,'Tool Map'!$I:$I,"In progress")</f>
        <v>0</v>
      </c>
      <c r="I7" s="8" t="n">
        <f aca="false">IF(F7=0,0,G7/F7)</f>
        <v>0</v>
      </c>
    </row>
    <row r="8" customFormat="false" ht="15" hidden="false" customHeight="false" outlineLevel="0" collapsed="false">
      <c r="A8" s="4" t="s">
        <v>17</v>
      </c>
      <c r="B8" s="5" t="s">
        <v>18</v>
      </c>
      <c r="C8" s="6" t="n">
        <v>46356</v>
      </c>
      <c r="D8" s="6" t="n">
        <v>46376</v>
      </c>
      <c r="E8" s="5" t="n">
        <v>75</v>
      </c>
      <c r="F8" s="7" t="n">
        <f aca="false">COUNTIF('Tool Map'!$B:$B,A8)</f>
        <v>12</v>
      </c>
      <c r="G8" s="7" t="n">
        <f aca="false">COUNTIFS('Tool Map'!$B:$B,A8,'Tool Map'!$I:$I,"Done")</f>
        <v>0</v>
      </c>
      <c r="H8" s="7" t="n">
        <f aca="false">COUNTIFS('Tool Map'!$B:$B,A8,'Tool Map'!$I:$I,"In progress")</f>
        <v>0</v>
      </c>
      <c r="I8" s="8" t="n">
        <f aca="false">IF(F8=0,0,G8/F8)</f>
        <v>0</v>
      </c>
    </row>
    <row r="9" customFormat="false" ht="15" hidden="false" customHeight="false" outlineLevel="0" collapsed="false">
      <c r="A9" s="4" t="s">
        <v>19</v>
      </c>
      <c r="B9" s="5" t="s">
        <v>20</v>
      </c>
      <c r="C9" s="6" t="n">
        <v>46377</v>
      </c>
      <c r="D9" s="6" t="n">
        <v>46390</v>
      </c>
      <c r="E9" s="5" t="n">
        <v>40</v>
      </c>
      <c r="F9" s="7" t="n">
        <f aca="false">COUNTIF('Tool Map'!$B:$B,A9)</f>
        <v>8</v>
      </c>
      <c r="G9" s="7" t="n">
        <f aca="false">COUNTIFS('Tool Map'!$B:$B,A9,'Tool Map'!$I:$I,"Done")</f>
        <v>0</v>
      </c>
      <c r="H9" s="7" t="n">
        <f aca="false">COUNTIFS('Tool Map'!$B:$B,A9,'Tool Map'!$I:$I,"In progress")</f>
        <v>0</v>
      </c>
      <c r="I9" s="8" t="n">
        <f aca="false">IF(F9=0,0,G9/F9)</f>
        <v>0</v>
      </c>
    </row>
    <row r="10" customFormat="false" ht="15" hidden="false" customHeight="false" outlineLevel="0" collapsed="false">
      <c r="A10" s="4" t="s">
        <v>21</v>
      </c>
      <c r="B10" s="5" t="s">
        <v>22</v>
      </c>
      <c r="C10" s="6" t="n">
        <v>46391</v>
      </c>
      <c r="D10" s="6" t="n">
        <v>46405</v>
      </c>
      <c r="E10" s="5" t="n">
        <v>50</v>
      </c>
      <c r="F10" s="7" t="n">
        <f aca="false">COUNTIF('Tool Map'!$B:$B,A10)</f>
        <v>14</v>
      </c>
      <c r="G10" s="7" t="n">
        <f aca="false">COUNTIFS('Tool Map'!$B:$B,A10,'Tool Map'!$I:$I,"Done")</f>
        <v>0</v>
      </c>
      <c r="H10" s="7" t="n">
        <f aca="false">COUNTIFS('Tool Map'!$B:$B,A10,'Tool Map'!$I:$I,"In progress")</f>
        <v>0</v>
      </c>
      <c r="I10" s="8" t="n">
        <f aca="false">IF(F10=0,0,G10/F10)</f>
        <v>0</v>
      </c>
    </row>
    <row r="11" customFormat="false" ht="15" hidden="false" customHeight="false" outlineLevel="0" collapsed="false">
      <c r="A11" s="9" t="s">
        <v>23</v>
      </c>
      <c r="B11" s="9"/>
      <c r="C11" s="9"/>
      <c r="D11" s="9"/>
      <c r="E11" s="9" t="n">
        <f aca="false">SUM(E5:E10)</f>
        <v>365</v>
      </c>
      <c r="F11" s="9" t="n">
        <f aca="false">SUM(F5:F10)</f>
        <v>68</v>
      </c>
      <c r="G11" s="9" t="n">
        <f aca="false">SUM(G5:G10)</f>
        <v>0</v>
      </c>
      <c r="H11" s="9" t="n">
        <f aca="false">SUM(H5:H10)</f>
        <v>0</v>
      </c>
      <c r="I11" s="10" t="n">
        <f aca="false">IF(F11=0,0,G11/F11)</f>
        <v>0</v>
      </c>
    </row>
    <row r="13" customFormat="false" ht="15" hidden="false" customHeight="false" outlineLevel="0" collapsed="false">
      <c r="A13" s="11" t="s">
        <v>24</v>
      </c>
    </row>
    <row r="14" customFormat="false" ht="15" hidden="false" customHeight="false" outlineLevel="0" collapsed="false">
      <c r="A14" s="12" t="s">
        <v>25</v>
      </c>
    </row>
    <row r="15" customFormat="false" ht="15" hidden="false" customHeight="false" outlineLevel="0" collapsed="false">
      <c r="A15" s="12" t="s">
        <v>26</v>
      </c>
    </row>
    <row r="16" customFormat="false" ht="15" hidden="false" customHeight="false" outlineLevel="0" collapsed="false">
      <c r="A16" s="12" t="s">
        <v>27</v>
      </c>
    </row>
    <row r="17" customFormat="false" ht="15" hidden="false" customHeight="false" outlineLevel="0" collapsed="false">
      <c r="A17" s="12" t="s">
        <v>28</v>
      </c>
    </row>
    <row r="18" customFormat="false" ht="15" hidden="false" customHeight="false" outlineLevel="0" collapsed="false">
      <c r="A18" s="12" t="s">
        <v>29</v>
      </c>
    </row>
    <row r="19" customFormat="false" ht="15" hidden="false" customHeight="false" outlineLevel="0" collapsed="false">
      <c r="A19" s="1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14"/>
    <col collapsed="false" customWidth="true" hidden="false" outlineLevel="0" max="4" min="4" style="0" width="38"/>
    <col collapsed="false" customWidth="true" hidden="false" outlineLevel="0" max="5" min="5" style="0" width="24"/>
    <col collapsed="false" customWidth="true" hidden="false" outlineLevel="0" max="6" min="6" style="0" width="34"/>
    <col collapsed="false" customWidth="true" hidden="false" outlineLevel="0" max="7" min="7" style="0" width="52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24"/>
  </cols>
  <sheetData>
    <row r="1" customFormat="false" ht="30" hidden="false" customHeight="true" outlineLevel="0" collapsed="false">
      <c r="A1" s="3" t="s">
        <v>31</v>
      </c>
      <c r="B1" s="3" t="s">
        <v>2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24</v>
      </c>
    </row>
    <row r="2" customFormat="false" ht="15" hidden="false" customHeight="false" outlineLevel="0" collapsed="false">
      <c r="A2" s="13" t="s">
        <v>39</v>
      </c>
      <c r="B2" s="13" t="s">
        <v>11</v>
      </c>
      <c r="C2" s="13" t="str">
        <f aca="false">TEXT(INDEX(Phases!$C$5:$C$10,MATCH(B2,Phases!$A$5:$A$10,0)),"mm-dd")&amp;" to "&amp;TEXT(INDEX(Phases!$D$5:$D$10,MATCH(B2,Phases!$A$5:$A$10,0)),"mm-dd")</f>
        <v>10-05 to 10-18</v>
      </c>
      <c r="D2" s="13" t="s">
        <v>40</v>
      </c>
      <c r="E2" s="13" t="s">
        <v>41</v>
      </c>
      <c r="F2" s="13" t="s">
        <v>42</v>
      </c>
      <c r="G2" s="13" t="s">
        <v>43</v>
      </c>
      <c r="H2" s="14" t="s">
        <v>44</v>
      </c>
      <c r="I2" s="14" t="s">
        <v>45</v>
      </c>
      <c r="J2" s="14"/>
    </row>
    <row r="3" customFormat="false" ht="23.85" hidden="false" customHeight="false" outlineLevel="0" collapsed="false">
      <c r="A3" s="13" t="s">
        <v>46</v>
      </c>
      <c r="B3" s="13" t="s">
        <v>11</v>
      </c>
      <c r="C3" s="13" t="str">
        <f aca="false">TEXT(INDEX(Phases!$C$5:$C$10,MATCH(B3,Phases!$A$5:$A$10,0)),"mm-dd")&amp;" to "&amp;TEXT(INDEX(Phases!$D$5:$D$10,MATCH(B3,Phases!$A$5:$A$10,0)),"mm-dd")</f>
        <v>10-05 to 10-18</v>
      </c>
      <c r="D3" s="13" t="s">
        <v>47</v>
      </c>
      <c r="E3" s="13" t="s">
        <v>48</v>
      </c>
      <c r="F3" s="13" t="s">
        <v>49</v>
      </c>
      <c r="G3" s="13" t="s">
        <v>50</v>
      </c>
      <c r="H3" s="14" t="s">
        <v>44</v>
      </c>
      <c r="I3" s="14" t="s">
        <v>45</v>
      </c>
      <c r="J3" s="14"/>
    </row>
    <row r="4" customFormat="false" ht="15" hidden="false" customHeight="false" outlineLevel="0" collapsed="false">
      <c r="A4" s="13" t="s">
        <v>51</v>
      </c>
      <c r="B4" s="13" t="s">
        <v>11</v>
      </c>
      <c r="C4" s="13" t="str">
        <f aca="false">TEXT(INDEX(Phases!$C$5:$C$10,MATCH(B4,Phases!$A$5:$A$10,0)),"mm-dd")&amp;" to "&amp;TEXT(INDEX(Phases!$D$5:$D$10,MATCH(B4,Phases!$A$5:$A$10,0)),"mm-dd")</f>
        <v>10-05 to 10-18</v>
      </c>
      <c r="D4" s="13" t="s">
        <v>52</v>
      </c>
      <c r="E4" s="13" t="s">
        <v>53</v>
      </c>
      <c r="F4" s="13" t="s">
        <v>54</v>
      </c>
      <c r="G4" s="13" t="s">
        <v>55</v>
      </c>
      <c r="H4" s="14" t="s">
        <v>44</v>
      </c>
      <c r="I4" s="14" t="s">
        <v>45</v>
      </c>
      <c r="J4" s="14"/>
    </row>
    <row r="5" customFormat="false" ht="15" hidden="false" customHeight="false" outlineLevel="0" collapsed="false">
      <c r="A5" s="13" t="s">
        <v>56</v>
      </c>
      <c r="B5" s="13" t="s">
        <v>11</v>
      </c>
      <c r="C5" s="13" t="str">
        <f aca="false">TEXT(INDEX(Phases!$C$5:$C$10,MATCH(B5,Phases!$A$5:$A$10,0)),"mm-dd")&amp;" to "&amp;TEXT(INDEX(Phases!$D$5:$D$10,MATCH(B5,Phases!$A$5:$A$10,0)),"mm-dd")</f>
        <v>10-05 to 10-18</v>
      </c>
      <c r="D5" s="13" t="s">
        <v>57</v>
      </c>
      <c r="E5" s="13" t="s">
        <v>58</v>
      </c>
      <c r="F5" s="13" t="s">
        <v>59</v>
      </c>
      <c r="G5" s="13" t="s">
        <v>60</v>
      </c>
      <c r="H5" s="14" t="s">
        <v>44</v>
      </c>
      <c r="I5" s="14" t="s">
        <v>45</v>
      </c>
      <c r="J5" s="14"/>
    </row>
    <row r="6" customFormat="false" ht="15" hidden="false" customHeight="false" outlineLevel="0" collapsed="false">
      <c r="A6" s="13" t="s">
        <v>61</v>
      </c>
      <c r="B6" s="13" t="s">
        <v>11</v>
      </c>
      <c r="C6" s="13" t="str">
        <f aca="false">TEXT(INDEX(Phases!$C$5:$C$10,MATCH(B6,Phases!$A$5:$A$10,0)),"mm-dd")&amp;" to "&amp;TEXT(INDEX(Phases!$D$5:$D$10,MATCH(B6,Phases!$A$5:$A$10,0)),"mm-dd")</f>
        <v>10-05 to 10-18</v>
      </c>
      <c r="D6" s="13" t="s">
        <v>62</v>
      </c>
      <c r="E6" s="13" t="s">
        <v>63</v>
      </c>
      <c r="F6" s="13" t="s">
        <v>64</v>
      </c>
      <c r="G6" s="13" t="s">
        <v>65</v>
      </c>
      <c r="H6" s="14" t="s">
        <v>44</v>
      </c>
      <c r="I6" s="14" t="s">
        <v>45</v>
      </c>
      <c r="J6" s="14"/>
    </row>
    <row r="7" customFormat="false" ht="15" hidden="false" customHeight="false" outlineLevel="0" collapsed="false">
      <c r="A7" s="13" t="s">
        <v>66</v>
      </c>
      <c r="B7" s="13" t="s">
        <v>11</v>
      </c>
      <c r="C7" s="13" t="str">
        <f aca="false">TEXT(INDEX(Phases!$C$5:$C$10,MATCH(B7,Phases!$A$5:$A$10,0)),"mm-dd")&amp;" to "&amp;TEXT(INDEX(Phases!$D$5:$D$10,MATCH(B7,Phases!$A$5:$A$10,0)),"mm-dd")</f>
        <v>10-05 to 10-18</v>
      </c>
      <c r="D7" s="13" t="s">
        <v>67</v>
      </c>
      <c r="E7" s="13" t="s">
        <v>68</v>
      </c>
      <c r="F7" s="13" t="s">
        <v>69</v>
      </c>
      <c r="G7" s="13" t="s">
        <v>70</v>
      </c>
      <c r="H7" s="14" t="s">
        <v>44</v>
      </c>
      <c r="I7" s="14" t="s">
        <v>45</v>
      </c>
      <c r="J7" s="14"/>
    </row>
    <row r="8" customFormat="false" ht="35.05" hidden="false" customHeight="false" outlineLevel="0" collapsed="false">
      <c r="A8" s="13" t="s">
        <v>71</v>
      </c>
      <c r="B8" s="13" t="s">
        <v>11</v>
      </c>
      <c r="C8" s="13" t="str">
        <f aca="false">TEXT(INDEX(Phases!$C$5:$C$10,MATCH(B8,Phases!$A$5:$A$10,0)),"mm-dd")&amp;" to "&amp;TEXT(INDEX(Phases!$D$5:$D$10,MATCH(B8,Phases!$A$5:$A$10,0)),"mm-dd")</f>
        <v>10-05 to 10-18</v>
      </c>
      <c r="D8" s="13" t="s">
        <v>72</v>
      </c>
      <c r="E8" s="13" t="s">
        <v>73</v>
      </c>
      <c r="F8" s="13" t="s">
        <v>74</v>
      </c>
      <c r="G8" s="13" t="s">
        <v>75</v>
      </c>
      <c r="H8" s="14" t="s">
        <v>44</v>
      </c>
      <c r="I8" s="14" t="s">
        <v>45</v>
      </c>
      <c r="J8" s="14"/>
    </row>
    <row r="9" customFormat="false" ht="15" hidden="false" customHeight="false" outlineLevel="0" collapsed="false">
      <c r="A9" s="13" t="s">
        <v>76</v>
      </c>
      <c r="B9" s="13" t="s">
        <v>11</v>
      </c>
      <c r="C9" s="13" t="str">
        <f aca="false">TEXT(INDEX(Phases!$C$5:$C$10,MATCH(B9,Phases!$A$5:$A$10,0)),"mm-dd")&amp;" to "&amp;TEXT(INDEX(Phases!$D$5:$D$10,MATCH(B9,Phases!$A$5:$A$10,0)),"mm-dd")</f>
        <v>10-05 to 10-18</v>
      </c>
      <c r="D9" s="13" t="s">
        <v>77</v>
      </c>
      <c r="E9" s="13" t="s">
        <v>78</v>
      </c>
      <c r="F9" s="13" t="s">
        <v>79</v>
      </c>
      <c r="G9" s="13" t="s">
        <v>80</v>
      </c>
      <c r="H9" s="14" t="s">
        <v>44</v>
      </c>
      <c r="I9" s="14" t="s">
        <v>45</v>
      </c>
      <c r="J9" s="14"/>
    </row>
    <row r="10" customFormat="false" ht="15" hidden="false" customHeight="false" outlineLevel="0" collapsed="false">
      <c r="A10" s="13" t="s">
        <v>81</v>
      </c>
      <c r="B10" s="13" t="s">
        <v>11</v>
      </c>
      <c r="C10" s="13" t="str">
        <f aca="false">TEXT(INDEX(Phases!$C$5:$C$10,MATCH(B10,Phases!$A$5:$A$10,0)),"mm-dd")&amp;" to "&amp;TEXT(INDEX(Phases!$D$5:$D$10,MATCH(B10,Phases!$A$5:$A$10,0)),"mm-dd")</f>
        <v>10-05 to 10-18</v>
      </c>
      <c r="D10" s="13" t="s">
        <v>82</v>
      </c>
      <c r="E10" s="13"/>
      <c r="F10" s="13" t="s">
        <v>83</v>
      </c>
      <c r="G10" s="13" t="s">
        <v>84</v>
      </c>
      <c r="H10" s="14" t="s">
        <v>44</v>
      </c>
      <c r="I10" s="14" t="s">
        <v>45</v>
      </c>
      <c r="J10" s="14"/>
    </row>
    <row r="11" customFormat="false" ht="23.85" hidden="false" customHeight="false" outlineLevel="0" collapsed="false">
      <c r="A11" s="13" t="s">
        <v>85</v>
      </c>
      <c r="B11" s="13" t="s">
        <v>13</v>
      </c>
      <c r="C11" s="13" t="str">
        <f aca="false">TEXT(INDEX(Phases!$C$5:$C$10,MATCH(B11,Phases!$A$5:$A$10,0)),"mm-dd")&amp;" to "&amp;TEXT(INDEX(Phases!$D$5:$D$10,MATCH(B11,Phases!$A$5:$A$10,0)),"mm-dd")</f>
        <v>10-19 to 11-08</v>
      </c>
      <c r="D11" s="13" t="s">
        <v>86</v>
      </c>
      <c r="E11" s="13" t="s">
        <v>87</v>
      </c>
      <c r="F11" s="13" t="s">
        <v>69</v>
      </c>
      <c r="G11" s="13" t="s">
        <v>88</v>
      </c>
      <c r="H11" s="14" t="s">
        <v>44</v>
      </c>
      <c r="I11" s="14" t="s">
        <v>45</v>
      </c>
      <c r="J11" s="14"/>
    </row>
    <row r="12" customFormat="false" ht="23.85" hidden="false" customHeight="false" outlineLevel="0" collapsed="false">
      <c r="A12" s="13" t="s">
        <v>89</v>
      </c>
      <c r="B12" s="13" t="s">
        <v>13</v>
      </c>
      <c r="C12" s="13" t="str">
        <f aca="false">TEXT(INDEX(Phases!$C$5:$C$10,MATCH(B12,Phases!$A$5:$A$10,0)),"mm-dd")&amp;" to "&amp;TEXT(INDEX(Phases!$D$5:$D$10,MATCH(B12,Phases!$A$5:$A$10,0)),"mm-dd")</f>
        <v>10-19 to 11-08</v>
      </c>
      <c r="D12" s="13" t="s">
        <v>90</v>
      </c>
      <c r="E12" s="13" t="s">
        <v>91</v>
      </c>
      <c r="F12" s="13" t="s">
        <v>92</v>
      </c>
      <c r="G12" s="13" t="s">
        <v>93</v>
      </c>
      <c r="H12" s="14" t="s">
        <v>44</v>
      </c>
      <c r="I12" s="14" t="s">
        <v>45</v>
      </c>
      <c r="J12" s="14"/>
    </row>
    <row r="13" customFormat="false" ht="15" hidden="false" customHeight="false" outlineLevel="0" collapsed="false">
      <c r="A13" s="13" t="s">
        <v>94</v>
      </c>
      <c r="B13" s="13" t="s">
        <v>13</v>
      </c>
      <c r="C13" s="13" t="str">
        <f aca="false">TEXT(INDEX(Phases!$C$5:$C$10,MATCH(B13,Phases!$A$5:$A$10,0)),"mm-dd")&amp;" to "&amp;TEXT(INDEX(Phases!$D$5:$D$10,MATCH(B13,Phases!$A$5:$A$10,0)),"mm-dd")</f>
        <v>10-19 to 11-08</v>
      </c>
      <c r="D13" s="13" t="s">
        <v>95</v>
      </c>
      <c r="E13" s="13" t="s">
        <v>96</v>
      </c>
      <c r="F13" s="13" t="s">
        <v>97</v>
      </c>
      <c r="G13" s="13" t="s">
        <v>98</v>
      </c>
      <c r="H13" s="14" t="s">
        <v>44</v>
      </c>
      <c r="I13" s="14" t="s">
        <v>45</v>
      </c>
      <c r="J13" s="14"/>
    </row>
    <row r="14" customFormat="false" ht="15" hidden="false" customHeight="false" outlineLevel="0" collapsed="false">
      <c r="A14" s="13" t="s">
        <v>99</v>
      </c>
      <c r="B14" s="13" t="s">
        <v>13</v>
      </c>
      <c r="C14" s="13" t="str">
        <f aca="false">TEXT(INDEX(Phases!$C$5:$C$10,MATCH(B14,Phases!$A$5:$A$10,0)),"mm-dd")&amp;" to "&amp;TEXT(INDEX(Phases!$D$5:$D$10,MATCH(B14,Phases!$A$5:$A$10,0)),"mm-dd")</f>
        <v>10-19 to 11-08</v>
      </c>
      <c r="D14" s="13" t="s">
        <v>100</v>
      </c>
      <c r="E14" s="13" t="s">
        <v>101</v>
      </c>
      <c r="F14" s="13" t="s">
        <v>102</v>
      </c>
      <c r="G14" s="13" t="s">
        <v>103</v>
      </c>
      <c r="H14" s="14" t="s">
        <v>44</v>
      </c>
      <c r="I14" s="14" t="s">
        <v>45</v>
      </c>
      <c r="J14" s="14"/>
    </row>
    <row r="15" customFormat="false" ht="15" hidden="false" customHeight="false" outlineLevel="0" collapsed="false">
      <c r="A15" s="13" t="s">
        <v>104</v>
      </c>
      <c r="B15" s="13" t="s">
        <v>13</v>
      </c>
      <c r="C15" s="13" t="str">
        <f aca="false">TEXT(INDEX(Phases!$C$5:$C$10,MATCH(B15,Phases!$A$5:$A$10,0)),"mm-dd")&amp;" to "&amp;TEXT(INDEX(Phases!$D$5:$D$10,MATCH(B15,Phases!$A$5:$A$10,0)),"mm-dd")</f>
        <v>10-19 to 11-08</v>
      </c>
      <c r="D15" s="13" t="s">
        <v>105</v>
      </c>
      <c r="E15" s="13" t="s">
        <v>106</v>
      </c>
      <c r="F15" s="13" t="s">
        <v>107</v>
      </c>
      <c r="G15" s="13" t="s">
        <v>108</v>
      </c>
      <c r="H15" s="14" t="s">
        <v>44</v>
      </c>
      <c r="I15" s="14" t="s">
        <v>45</v>
      </c>
      <c r="J15" s="14"/>
    </row>
    <row r="16" customFormat="false" ht="15" hidden="false" customHeight="false" outlineLevel="0" collapsed="false">
      <c r="A16" s="13" t="s">
        <v>109</v>
      </c>
      <c r="B16" s="13" t="s">
        <v>13</v>
      </c>
      <c r="C16" s="13" t="str">
        <f aca="false">TEXT(INDEX(Phases!$C$5:$C$10,MATCH(B16,Phases!$A$5:$A$10,0)),"mm-dd")&amp;" to "&amp;TEXT(INDEX(Phases!$D$5:$D$10,MATCH(B16,Phases!$A$5:$A$10,0)),"mm-dd")</f>
        <v>10-19 to 11-08</v>
      </c>
      <c r="D16" s="13" t="s">
        <v>110</v>
      </c>
      <c r="E16" s="13" t="s">
        <v>111</v>
      </c>
      <c r="F16" s="13" t="s">
        <v>107</v>
      </c>
      <c r="G16" s="13" t="s">
        <v>112</v>
      </c>
      <c r="H16" s="14" t="s">
        <v>44</v>
      </c>
      <c r="I16" s="14" t="s">
        <v>45</v>
      </c>
      <c r="J16" s="14"/>
    </row>
    <row r="17" customFormat="false" ht="15" hidden="false" customHeight="false" outlineLevel="0" collapsed="false">
      <c r="A17" s="13" t="s">
        <v>113</v>
      </c>
      <c r="B17" s="13" t="s">
        <v>13</v>
      </c>
      <c r="C17" s="13" t="str">
        <f aca="false">TEXT(INDEX(Phases!$C$5:$C$10,MATCH(B17,Phases!$A$5:$A$10,0)),"mm-dd")&amp;" to "&amp;TEXT(INDEX(Phases!$D$5:$D$10,MATCH(B17,Phases!$A$5:$A$10,0)),"mm-dd")</f>
        <v>10-19 to 11-08</v>
      </c>
      <c r="D17" s="13" t="s">
        <v>114</v>
      </c>
      <c r="E17" s="13" t="s">
        <v>115</v>
      </c>
      <c r="F17" s="13" t="s">
        <v>116</v>
      </c>
      <c r="G17" s="13" t="s">
        <v>117</v>
      </c>
      <c r="H17" s="14" t="s">
        <v>44</v>
      </c>
      <c r="I17" s="14" t="s">
        <v>45</v>
      </c>
      <c r="J17" s="14"/>
    </row>
    <row r="18" customFormat="false" ht="15" hidden="false" customHeight="false" outlineLevel="0" collapsed="false">
      <c r="A18" s="13" t="s">
        <v>118</v>
      </c>
      <c r="B18" s="13" t="s">
        <v>13</v>
      </c>
      <c r="C18" s="13" t="str">
        <f aca="false">TEXT(INDEX(Phases!$C$5:$C$10,MATCH(B18,Phases!$A$5:$A$10,0)),"mm-dd")&amp;" to "&amp;TEXT(INDEX(Phases!$D$5:$D$10,MATCH(B18,Phases!$A$5:$A$10,0)),"mm-dd")</f>
        <v>10-19 to 11-08</v>
      </c>
      <c r="D18" s="13" t="s">
        <v>119</v>
      </c>
      <c r="E18" s="13" t="s">
        <v>120</v>
      </c>
      <c r="F18" s="13" t="s">
        <v>121</v>
      </c>
      <c r="G18" s="13" t="s">
        <v>122</v>
      </c>
      <c r="H18" s="14" t="s">
        <v>44</v>
      </c>
      <c r="I18" s="14" t="s">
        <v>45</v>
      </c>
      <c r="J18" s="14"/>
    </row>
    <row r="19" customFormat="false" ht="23.85" hidden="false" customHeight="false" outlineLevel="0" collapsed="false">
      <c r="A19" s="13" t="s">
        <v>123</v>
      </c>
      <c r="B19" s="13" t="s">
        <v>13</v>
      </c>
      <c r="C19" s="13" t="str">
        <f aca="false">TEXT(INDEX(Phases!$C$5:$C$10,MATCH(B19,Phases!$A$5:$A$10,0)),"mm-dd")&amp;" to "&amp;TEXT(INDEX(Phases!$D$5:$D$10,MATCH(B19,Phases!$A$5:$A$10,0)),"mm-dd")</f>
        <v>10-19 to 11-08</v>
      </c>
      <c r="D19" s="13" t="s">
        <v>124</v>
      </c>
      <c r="E19" s="13" t="s">
        <v>125</v>
      </c>
      <c r="F19" s="13" t="s">
        <v>126</v>
      </c>
      <c r="G19" s="13" t="s">
        <v>127</v>
      </c>
      <c r="H19" s="14" t="s">
        <v>44</v>
      </c>
      <c r="I19" s="14" t="s">
        <v>45</v>
      </c>
      <c r="J19" s="14"/>
    </row>
    <row r="20" customFormat="false" ht="15" hidden="false" customHeight="false" outlineLevel="0" collapsed="false">
      <c r="A20" s="13" t="s">
        <v>128</v>
      </c>
      <c r="B20" s="13" t="s">
        <v>13</v>
      </c>
      <c r="C20" s="13" t="str">
        <f aca="false">TEXT(INDEX(Phases!$C$5:$C$10,MATCH(B20,Phases!$A$5:$A$10,0)),"mm-dd")&amp;" to "&amp;TEXT(INDEX(Phases!$D$5:$D$10,MATCH(B20,Phases!$A$5:$A$10,0)),"mm-dd")</f>
        <v>10-19 to 11-08</v>
      </c>
      <c r="D20" s="13" t="s">
        <v>129</v>
      </c>
      <c r="E20" s="13" t="s">
        <v>130</v>
      </c>
      <c r="F20" s="13" t="s">
        <v>131</v>
      </c>
      <c r="G20" s="13" t="s">
        <v>132</v>
      </c>
      <c r="H20" s="14" t="s">
        <v>44</v>
      </c>
      <c r="I20" s="14" t="s">
        <v>45</v>
      </c>
      <c r="J20" s="14"/>
    </row>
    <row r="21" customFormat="false" ht="23.85" hidden="false" customHeight="false" outlineLevel="0" collapsed="false">
      <c r="A21" s="13" t="s">
        <v>133</v>
      </c>
      <c r="B21" s="13" t="s">
        <v>13</v>
      </c>
      <c r="C21" s="13" t="str">
        <f aca="false">TEXT(INDEX(Phases!$C$5:$C$10,MATCH(B21,Phases!$A$5:$A$10,0)),"mm-dd")&amp;" to "&amp;TEXT(INDEX(Phases!$D$5:$D$10,MATCH(B21,Phases!$A$5:$A$10,0)),"mm-dd")</f>
        <v>10-19 to 11-08</v>
      </c>
      <c r="D21" s="13" t="s">
        <v>134</v>
      </c>
      <c r="E21" s="13" t="s">
        <v>135</v>
      </c>
      <c r="F21" s="13" t="s">
        <v>136</v>
      </c>
      <c r="G21" s="13" t="s">
        <v>137</v>
      </c>
      <c r="H21" s="14" t="s">
        <v>44</v>
      </c>
      <c r="I21" s="14" t="s">
        <v>45</v>
      </c>
      <c r="J21" s="14"/>
    </row>
    <row r="22" customFormat="false" ht="15" hidden="false" customHeight="false" outlineLevel="0" collapsed="false">
      <c r="A22" s="13" t="s">
        <v>138</v>
      </c>
      <c r="B22" s="13" t="s">
        <v>13</v>
      </c>
      <c r="C22" s="13" t="str">
        <f aca="false">TEXT(INDEX(Phases!$C$5:$C$10,MATCH(B22,Phases!$A$5:$A$10,0)),"mm-dd")&amp;" to "&amp;TEXT(INDEX(Phases!$D$5:$D$10,MATCH(B22,Phases!$A$5:$A$10,0)),"mm-dd")</f>
        <v>10-19 to 11-08</v>
      </c>
      <c r="D22" s="13" t="s">
        <v>139</v>
      </c>
      <c r="E22" s="13" t="s">
        <v>140</v>
      </c>
      <c r="F22" s="13" t="s">
        <v>141</v>
      </c>
      <c r="G22" s="13" t="s">
        <v>142</v>
      </c>
      <c r="H22" s="14" t="s">
        <v>44</v>
      </c>
      <c r="I22" s="14" t="s">
        <v>45</v>
      </c>
      <c r="J22" s="14"/>
    </row>
    <row r="23" customFormat="false" ht="23.85" hidden="false" customHeight="false" outlineLevel="0" collapsed="false">
      <c r="A23" s="13" t="s">
        <v>143</v>
      </c>
      <c r="B23" s="13" t="s">
        <v>13</v>
      </c>
      <c r="C23" s="13" t="str">
        <f aca="false">TEXT(INDEX(Phases!$C$5:$C$10,MATCH(B23,Phases!$A$5:$A$10,0)),"mm-dd")&amp;" to "&amp;TEXT(INDEX(Phases!$D$5:$D$10,MATCH(B23,Phases!$A$5:$A$10,0)),"mm-dd")</f>
        <v>10-19 to 11-08</v>
      </c>
      <c r="D23" s="13" t="s">
        <v>144</v>
      </c>
      <c r="E23" s="13" t="s">
        <v>145</v>
      </c>
      <c r="F23" s="13" t="s">
        <v>146</v>
      </c>
      <c r="G23" s="13" t="s">
        <v>147</v>
      </c>
      <c r="H23" s="14" t="s">
        <v>44</v>
      </c>
      <c r="I23" s="14" t="s">
        <v>45</v>
      </c>
      <c r="J23" s="14"/>
    </row>
    <row r="24" customFormat="false" ht="23.85" hidden="false" customHeight="false" outlineLevel="0" collapsed="false">
      <c r="A24" s="13" t="s">
        <v>148</v>
      </c>
      <c r="B24" s="13" t="s">
        <v>13</v>
      </c>
      <c r="C24" s="13" t="str">
        <f aca="false">TEXT(INDEX(Phases!$C$5:$C$10,MATCH(B24,Phases!$A$5:$A$10,0)),"mm-dd")&amp;" to "&amp;TEXT(INDEX(Phases!$D$5:$D$10,MATCH(B24,Phases!$A$5:$A$10,0)),"mm-dd")</f>
        <v>10-19 to 11-08</v>
      </c>
      <c r="D24" s="13" t="s">
        <v>149</v>
      </c>
      <c r="E24" s="13" t="s">
        <v>150</v>
      </c>
      <c r="F24" s="13" t="s">
        <v>151</v>
      </c>
      <c r="G24" s="13" t="s">
        <v>152</v>
      </c>
      <c r="H24" s="14" t="s">
        <v>44</v>
      </c>
      <c r="I24" s="14" t="s">
        <v>45</v>
      </c>
      <c r="J24" s="14"/>
    </row>
    <row r="25" customFormat="false" ht="23.85" hidden="false" customHeight="false" outlineLevel="0" collapsed="false">
      <c r="A25" s="13" t="s">
        <v>153</v>
      </c>
      <c r="B25" s="13" t="s">
        <v>15</v>
      </c>
      <c r="C25" s="13" t="str">
        <f aca="false">TEXT(INDEX(Phases!$C$5:$C$10,MATCH(B25,Phases!$A$5:$A$10,0)),"mm-dd")&amp;" to "&amp;TEXT(INDEX(Phases!$D$5:$D$10,MATCH(B25,Phases!$A$5:$A$10,0)),"mm-dd")</f>
        <v>11-09 to 11-29</v>
      </c>
      <c r="D25" s="13" t="s">
        <v>154</v>
      </c>
      <c r="E25" s="13" t="s">
        <v>155</v>
      </c>
      <c r="F25" s="13" t="s">
        <v>69</v>
      </c>
      <c r="G25" s="13" t="s">
        <v>156</v>
      </c>
      <c r="H25" s="14" t="s">
        <v>44</v>
      </c>
      <c r="I25" s="14" t="s">
        <v>45</v>
      </c>
      <c r="J25" s="14"/>
    </row>
    <row r="26" customFormat="false" ht="15" hidden="false" customHeight="false" outlineLevel="0" collapsed="false">
      <c r="A26" s="13" t="s">
        <v>157</v>
      </c>
      <c r="B26" s="13" t="s">
        <v>15</v>
      </c>
      <c r="C26" s="13" t="str">
        <f aca="false">TEXT(INDEX(Phases!$C$5:$C$10,MATCH(B26,Phases!$A$5:$A$10,0)),"mm-dd")&amp;" to "&amp;TEXT(INDEX(Phases!$D$5:$D$10,MATCH(B26,Phases!$A$5:$A$10,0)),"mm-dd")</f>
        <v>11-09 to 11-29</v>
      </c>
      <c r="D26" s="13" t="s">
        <v>158</v>
      </c>
      <c r="E26" s="13" t="s">
        <v>159</v>
      </c>
      <c r="F26" s="13" t="s">
        <v>69</v>
      </c>
      <c r="G26" s="13" t="s">
        <v>156</v>
      </c>
      <c r="H26" s="14" t="s">
        <v>44</v>
      </c>
      <c r="I26" s="14" t="s">
        <v>45</v>
      </c>
      <c r="J26" s="14"/>
    </row>
    <row r="27" customFormat="false" ht="15" hidden="false" customHeight="false" outlineLevel="0" collapsed="false">
      <c r="A27" s="13" t="s">
        <v>160</v>
      </c>
      <c r="B27" s="13" t="s">
        <v>15</v>
      </c>
      <c r="C27" s="13" t="str">
        <f aca="false">TEXT(INDEX(Phases!$C$5:$C$10,MATCH(B27,Phases!$A$5:$A$10,0)),"mm-dd")&amp;" to "&amp;TEXT(INDEX(Phases!$D$5:$D$10,MATCH(B27,Phases!$A$5:$A$10,0)),"mm-dd")</f>
        <v>11-09 to 11-29</v>
      </c>
      <c r="D27" s="13" t="s">
        <v>161</v>
      </c>
      <c r="E27" s="13" t="s">
        <v>162</v>
      </c>
      <c r="F27" s="13" t="s">
        <v>69</v>
      </c>
      <c r="G27" s="13" t="s">
        <v>156</v>
      </c>
      <c r="H27" s="14" t="s">
        <v>44</v>
      </c>
      <c r="I27" s="14" t="s">
        <v>45</v>
      </c>
      <c r="J27" s="14"/>
    </row>
    <row r="28" customFormat="false" ht="23.85" hidden="false" customHeight="false" outlineLevel="0" collapsed="false">
      <c r="A28" s="13" t="s">
        <v>163</v>
      </c>
      <c r="B28" s="13" t="s">
        <v>15</v>
      </c>
      <c r="C28" s="13" t="str">
        <f aca="false">TEXT(INDEX(Phases!$C$5:$C$10,MATCH(B28,Phases!$A$5:$A$10,0)),"mm-dd")&amp;" to "&amp;TEXT(INDEX(Phases!$D$5:$D$10,MATCH(B28,Phases!$A$5:$A$10,0)),"mm-dd")</f>
        <v>11-09 to 11-29</v>
      </c>
      <c r="D28" s="13" t="s">
        <v>164</v>
      </c>
      <c r="E28" s="13" t="s">
        <v>165</v>
      </c>
      <c r="F28" s="13" t="s">
        <v>166</v>
      </c>
      <c r="G28" s="13" t="s">
        <v>167</v>
      </c>
      <c r="H28" s="14" t="s">
        <v>44</v>
      </c>
      <c r="I28" s="14" t="s">
        <v>45</v>
      </c>
      <c r="J28" s="14"/>
    </row>
    <row r="29" customFormat="false" ht="15" hidden="false" customHeight="false" outlineLevel="0" collapsed="false">
      <c r="A29" s="13" t="s">
        <v>168</v>
      </c>
      <c r="B29" s="13" t="s">
        <v>15</v>
      </c>
      <c r="C29" s="13" t="str">
        <f aca="false">TEXT(INDEX(Phases!$C$5:$C$10,MATCH(B29,Phases!$A$5:$A$10,0)),"mm-dd")&amp;" to "&amp;TEXT(INDEX(Phases!$D$5:$D$10,MATCH(B29,Phases!$A$5:$A$10,0)),"mm-dd")</f>
        <v>11-09 to 11-29</v>
      </c>
      <c r="D29" s="13" t="s">
        <v>169</v>
      </c>
      <c r="E29" s="13" t="s">
        <v>170</v>
      </c>
      <c r="F29" s="13" t="s">
        <v>107</v>
      </c>
      <c r="G29" s="13" t="s">
        <v>171</v>
      </c>
      <c r="H29" s="14" t="s">
        <v>44</v>
      </c>
      <c r="I29" s="14" t="s">
        <v>45</v>
      </c>
      <c r="J29" s="14"/>
    </row>
    <row r="30" customFormat="false" ht="15" hidden="false" customHeight="false" outlineLevel="0" collapsed="false">
      <c r="A30" s="13" t="s">
        <v>172</v>
      </c>
      <c r="B30" s="13" t="s">
        <v>15</v>
      </c>
      <c r="C30" s="13" t="str">
        <f aca="false">TEXT(INDEX(Phases!$C$5:$C$10,MATCH(B30,Phases!$A$5:$A$10,0)),"mm-dd")&amp;" to "&amp;TEXT(INDEX(Phases!$D$5:$D$10,MATCH(B30,Phases!$A$5:$A$10,0)),"mm-dd")</f>
        <v>11-09 to 11-29</v>
      </c>
      <c r="D30" s="13" t="s">
        <v>173</v>
      </c>
      <c r="E30" s="13" t="s">
        <v>174</v>
      </c>
      <c r="F30" s="13" t="s">
        <v>107</v>
      </c>
      <c r="G30" s="13" t="s">
        <v>175</v>
      </c>
      <c r="H30" s="14" t="s">
        <v>44</v>
      </c>
      <c r="I30" s="14" t="s">
        <v>45</v>
      </c>
      <c r="J30" s="14"/>
    </row>
    <row r="31" customFormat="false" ht="15" hidden="false" customHeight="false" outlineLevel="0" collapsed="false">
      <c r="A31" s="13" t="s">
        <v>176</v>
      </c>
      <c r="B31" s="13" t="s">
        <v>15</v>
      </c>
      <c r="C31" s="13" t="str">
        <f aca="false">TEXT(INDEX(Phases!$C$5:$C$10,MATCH(B31,Phases!$A$5:$A$10,0)),"mm-dd")&amp;" to "&amp;TEXT(INDEX(Phases!$D$5:$D$10,MATCH(B31,Phases!$A$5:$A$10,0)),"mm-dd")</f>
        <v>11-09 to 11-29</v>
      </c>
      <c r="D31" s="13" t="s">
        <v>177</v>
      </c>
      <c r="E31" s="13" t="s">
        <v>178</v>
      </c>
      <c r="F31" s="13" t="s">
        <v>179</v>
      </c>
      <c r="G31" s="13" t="s">
        <v>180</v>
      </c>
      <c r="H31" s="14" t="s">
        <v>44</v>
      </c>
      <c r="I31" s="14" t="s">
        <v>45</v>
      </c>
      <c r="J31" s="14"/>
    </row>
    <row r="32" customFormat="false" ht="15" hidden="false" customHeight="false" outlineLevel="0" collapsed="false">
      <c r="A32" s="13" t="s">
        <v>181</v>
      </c>
      <c r="B32" s="13" t="s">
        <v>15</v>
      </c>
      <c r="C32" s="13" t="str">
        <f aca="false">TEXT(INDEX(Phases!$C$5:$C$10,MATCH(B32,Phases!$A$5:$A$10,0)),"mm-dd")&amp;" to "&amp;TEXT(INDEX(Phases!$D$5:$D$10,MATCH(B32,Phases!$A$5:$A$10,0)),"mm-dd")</f>
        <v>11-09 to 11-29</v>
      </c>
      <c r="D32" s="13" t="s">
        <v>182</v>
      </c>
      <c r="E32" s="13" t="s">
        <v>183</v>
      </c>
      <c r="F32" s="13" t="s">
        <v>107</v>
      </c>
      <c r="G32" s="13" t="s">
        <v>184</v>
      </c>
      <c r="H32" s="14" t="s">
        <v>44</v>
      </c>
      <c r="I32" s="14" t="s">
        <v>45</v>
      </c>
      <c r="J32" s="14"/>
    </row>
    <row r="33" customFormat="false" ht="15" hidden="false" customHeight="false" outlineLevel="0" collapsed="false">
      <c r="A33" s="13" t="s">
        <v>185</v>
      </c>
      <c r="B33" s="13" t="s">
        <v>15</v>
      </c>
      <c r="C33" s="13" t="str">
        <f aca="false">TEXT(INDEX(Phases!$C$5:$C$10,MATCH(B33,Phases!$A$5:$A$10,0)),"mm-dd")&amp;" to "&amp;TEXT(INDEX(Phases!$D$5:$D$10,MATCH(B33,Phases!$A$5:$A$10,0)),"mm-dd")</f>
        <v>11-09 to 11-29</v>
      </c>
      <c r="D33" s="13" t="s">
        <v>186</v>
      </c>
      <c r="E33" s="13" t="s">
        <v>187</v>
      </c>
      <c r="F33" s="13" t="s">
        <v>92</v>
      </c>
      <c r="G33" s="13" t="s">
        <v>188</v>
      </c>
      <c r="H33" s="14" t="s">
        <v>44</v>
      </c>
      <c r="I33" s="14" t="s">
        <v>45</v>
      </c>
      <c r="J33" s="14"/>
    </row>
    <row r="34" customFormat="false" ht="15" hidden="false" customHeight="false" outlineLevel="0" collapsed="false">
      <c r="A34" s="13" t="s">
        <v>189</v>
      </c>
      <c r="B34" s="13" t="s">
        <v>15</v>
      </c>
      <c r="C34" s="13" t="str">
        <f aca="false">TEXT(INDEX(Phases!$C$5:$C$10,MATCH(B34,Phases!$A$5:$A$10,0)),"mm-dd")&amp;" to "&amp;TEXT(INDEX(Phases!$D$5:$D$10,MATCH(B34,Phases!$A$5:$A$10,0)),"mm-dd")</f>
        <v>11-09 to 11-29</v>
      </c>
      <c r="D34" s="13" t="s">
        <v>190</v>
      </c>
      <c r="E34" s="13" t="s">
        <v>191</v>
      </c>
      <c r="F34" s="13" t="s">
        <v>192</v>
      </c>
      <c r="G34" s="13" t="s">
        <v>193</v>
      </c>
      <c r="H34" s="14" t="s">
        <v>44</v>
      </c>
      <c r="I34" s="14" t="s">
        <v>45</v>
      </c>
      <c r="J34" s="14"/>
    </row>
    <row r="35" customFormat="false" ht="23.85" hidden="false" customHeight="false" outlineLevel="0" collapsed="false">
      <c r="A35" s="13" t="s">
        <v>194</v>
      </c>
      <c r="B35" s="13" t="s">
        <v>15</v>
      </c>
      <c r="C35" s="13" t="str">
        <f aca="false">TEXT(INDEX(Phases!$C$5:$C$10,MATCH(B35,Phases!$A$5:$A$10,0)),"mm-dd")&amp;" to "&amp;TEXT(INDEX(Phases!$D$5:$D$10,MATCH(B35,Phases!$A$5:$A$10,0)),"mm-dd")</f>
        <v>11-09 to 11-29</v>
      </c>
      <c r="D35" s="13" t="s">
        <v>195</v>
      </c>
      <c r="E35" s="13" t="s">
        <v>196</v>
      </c>
      <c r="F35" s="13" t="s">
        <v>146</v>
      </c>
      <c r="G35" s="13" t="s">
        <v>197</v>
      </c>
      <c r="H35" s="14" t="s">
        <v>44</v>
      </c>
      <c r="I35" s="14" t="s">
        <v>45</v>
      </c>
      <c r="J35" s="14"/>
    </row>
    <row r="36" customFormat="false" ht="15" hidden="false" customHeight="false" outlineLevel="0" collapsed="false">
      <c r="A36" s="13" t="s">
        <v>198</v>
      </c>
      <c r="B36" s="13" t="s">
        <v>17</v>
      </c>
      <c r="C36" s="13" t="str">
        <f aca="false">TEXT(INDEX(Phases!$C$5:$C$10,MATCH(B36,Phases!$A$5:$A$10,0)),"mm-dd")&amp;" to "&amp;TEXT(INDEX(Phases!$D$5:$D$10,MATCH(B36,Phases!$A$5:$A$10,0)),"mm-dd")</f>
        <v>11-30 to 12-20</v>
      </c>
      <c r="D36" s="13" t="s">
        <v>199</v>
      </c>
      <c r="E36" s="13" t="s">
        <v>200</v>
      </c>
      <c r="F36" s="13" t="s">
        <v>201</v>
      </c>
      <c r="G36" s="13" t="s">
        <v>202</v>
      </c>
      <c r="H36" s="14" t="s">
        <v>44</v>
      </c>
      <c r="I36" s="14" t="s">
        <v>45</v>
      </c>
      <c r="J36" s="14"/>
    </row>
    <row r="37" customFormat="false" ht="23.85" hidden="false" customHeight="false" outlineLevel="0" collapsed="false">
      <c r="A37" s="13" t="s">
        <v>203</v>
      </c>
      <c r="B37" s="13" t="s">
        <v>17</v>
      </c>
      <c r="C37" s="13" t="str">
        <f aca="false">TEXT(INDEX(Phases!$C$5:$C$10,MATCH(B37,Phases!$A$5:$A$10,0)),"mm-dd")&amp;" to "&amp;TEXT(INDEX(Phases!$D$5:$D$10,MATCH(B37,Phases!$A$5:$A$10,0)),"mm-dd")</f>
        <v>11-30 to 12-20</v>
      </c>
      <c r="D37" s="13" t="s">
        <v>204</v>
      </c>
      <c r="E37" s="13" t="s">
        <v>205</v>
      </c>
      <c r="F37" s="13" t="s">
        <v>206</v>
      </c>
      <c r="G37" s="13" t="s">
        <v>207</v>
      </c>
      <c r="H37" s="14" t="s">
        <v>44</v>
      </c>
      <c r="I37" s="14" t="s">
        <v>45</v>
      </c>
      <c r="J37" s="14"/>
    </row>
    <row r="38" customFormat="false" ht="15" hidden="false" customHeight="false" outlineLevel="0" collapsed="false">
      <c r="A38" s="13" t="s">
        <v>208</v>
      </c>
      <c r="B38" s="13" t="s">
        <v>17</v>
      </c>
      <c r="C38" s="13" t="str">
        <f aca="false">TEXT(INDEX(Phases!$C$5:$C$10,MATCH(B38,Phases!$A$5:$A$10,0)),"mm-dd")&amp;" to "&amp;TEXT(INDEX(Phases!$D$5:$D$10,MATCH(B38,Phases!$A$5:$A$10,0)),"mm-dd")</f>
        <v>11-30 to 12-20</v>
      </c>
      <c r="D38" s="13" t="s">
        <v>209</v>
      </c>
      <c r="E38" s="13" t="s">
        <v>210</v>
      </c>
      <c r="F38" s="13" t="s">
        <v>211</v>
      </c>
      <c r="G38" s="13" t="s">
        <v>212</v>
      </c>
      <c r="H38" s="14" t="s">
        <v>44</v>
      </c>
      <c r="I38" s="14" t="s">
        <v>45</v>
      </c>
      <c r="J38" s="14"/>
    </row>
    <row r="39" customFormat="false" ht="15" hidden="false" customHeight="false" outlineLevel="0" collapsed="false">
      <c r="A39" s="13" t="s">
        <v>213</v>
      </c>
      <c r="B39" s="13" t="s">
        <v>17</v>
      </c>
      <c r="C39" s="13" t="str">
        <f aca="false">TEXT(INDEX(Phases!$C$5:$C$10,MATCH(B39,Phases!$A$5:$A$10,0)),"mm-dd")&amp;" to "&amp;TEXT(INDEX(Phases!$D$5:$D$10,MATCH(B39,Phases!$A$5:$A$10,0)),"mm-dd")</f>
        <v>11-30 to 12-20</v>
      </c>
      <c r="D39" s="13" t="s">
        <v>214</v>
      </c>
      <c r="E39" s="13" t="s">
        <v>215</v>
      </c>
      <c r="F39" s="13" t="s">
        <v>216</v>
      </c>
      <c r="G39" s="13" t="s">
        <v>217</v>
      </c>
      <c r="H39" s="14" t="s">
        <v>44</v>
      </c>
      <c r="I39" s="14" t="s">
        <v>45</v>
      </c>
      <c r="J39" s="14"/>
    </row>
    <row r="40" customFormat="false" ht="23.85" hidden="false" customHeight="false" outlineLevel="0" collapsed="false">
      <c r="A40" s="13" t="s">
        <v>218</v>
      </c>
      <c r="B40" s="13" t="s">
        <v>17</v>
      </c>
      <c r="C40" s="13" t="str">
        <f aca="false">TEXT(INDEX(Phases!$C$5:$C$10,MATCH(B40,Phases!$A$5:$A$10,0)),"mm-dd")&amp;" to "&amp;TEXT(INDEX(Phases!$D$5:$D$10,MATCH(B40,Phases!$A$5:$A$10,0)),"mm-dd")</f>
        <v>11-30 to 12-20</v>
      </c>
      <c r="D40" s="13" t="s">
        <v>219</v>
      </c>
      <c r="E40" s="13" t="s">
        <v>220</v>
      </c>
      <c r="F40" s="13" t="s">
        <v>211</v>
      </c>
      <c r="G40" s="13" t="s">
        <v>221</v>
      </c>
      <c r="H40" s="14" t="s">
        <v>44</v>
      </c>
      <c r="I40" s="14" t="s">
        <v>45</v>
      </c>
      <c r="J40" s="14"/>
    </row>
    <row r="41" customFormat="false" ht="15" hidden="false" customHeight="false" outlineLevel="0" collapsed="false">
      <c r="A41" s="13" t="s">
        <v>222</v>
      </c>
      <c r="B41" s="13" t="s">
        <v>17</v>
      </c>
      <c r="C41" s="13" t="str">
        <f aca="false">TEXT(INDEX(Phases!$C$5:$C$10,MATCH(B41,Phases!$A$5:$A$10,0)),"mm-dd")&amp;" to "&amp;TEXT(INDEX(Phases!$D$5:$D$10,MATCH(B41,Phases!$A$5:$A$10,0)),"mm-dd")</f>
        <v>11-30 to 12-20</v>
      </c>
      <c r="D41" s="13" t="s">
        <v>223</v>
      </c>
      <c r="E41" s="13" t="s">
        <v>224</v>
      </c>
      <c r="F41" s="13" t="s">
        <v>225</v>
      </c>
      <c r="G41" s="13" t="s">
        <v>226</v>
      </c>
      <c r="H41" s="14" t="s">
        <v>44</v>
      </c>
      <c r="I41" s="14" t="s">
        <v>45</v>
      </c>
      <c r="J41" s="14"/>
    </row>
    <row r="42" customFormat="false" ht="15" hidden="false" customHeight="false" outlineLevel="0" collapsed="false">
      <c r="A42" s="13" t="s">
        <v>227</v>
      </c>
      <c r="B42" s="13" t="s">
        <v>17</v>
      </c>
      <c r="C42" s="13" t="str">
        <f aca="false">TEXT(INDEX(Phases!$C$5:$C$10,MATCH(B42,Phases!$A$5:$A$10,0)),"mm-dd")&amp;" to "&amp;TEXT(INDEX(Phases!$D$5:$D$10,MATCH(B42,Phases!$A$5:$A$10,0)),"mm-dd")</f>
        <v>11-30 to 12-20</v>
      </c>
      <c r="D42" s="13" t="s">
        <v>228</v>
      </c>
      <c r="E42" s="13" t="s">
        <v>229</v>
      </c>
      <c r="F42" s="13" t="s">
        <v>107</v>
      </c>
      <c r="G42" s="13" t="s">
        <v>230</v>
      </c>
      <c r="H42" s="14" t="s">
        <v>44</v>
      </c>
      <c r="I42" s="14" t="s">
        <v>45</v>
      </c>
      <c r="J42" s="14"/>
    </row>
    <row r="43" customFormat="false" ht="15" hidden="false" customHeight="false" outlineLevel="0" collapsed="false">
      <c r="A43" s="13" t="s">
        <v>231</v>
      </c>
      <c r="B43" s="13" t="s">
        <v>17</v>
      </c>
      <c r="C43" s="13" t="str">
        <f aca="false">TEXT(INDEX(Phases!$C$5:$C$10,MATCH(B43,Phases!$A$5:$A$10,0)),"mm-dd")&amp;" to "&amp;TEXT(INDEX(Phases!$D$5:$D$10,MATCH(B43,Phases!$A$5:$A$10,0)),"mm-dd")</f>
        <v>11-30 to 12-20</v>
      </c>
      <c r="D43" s="13" t="s">
        <v>232</v>
      </c>
      <c r="E43" s="13" t="s">
        <v>233</v>
      </c>
      <c r="F43" s="13" t="s">
        <v>107</v>
      </c>
      <c r="G43" s="13" t="s">
        <v>234</v>
      </c>
      <c r="H43" s="14" t="s">
        <v>44</v>
      </c>
      <c r="I43" s="14" t="s">
        <v>45</v>
      </c>
      <c r="J43" s="14"/>
    </row>
    <row r="44" customFormat="false" ht="15" hidden="false" customHeight="false" outlineLevel="0" collapsed="false">
      <c r="A44" s="13" t="s">
        <v>235</v>
      </c>
      <c r="B44" s="13" t="s">
        <v>17</v>
      </c>
      <c r="C44" s="13" t="str">
        <f aca="false">TEXT(INDEX(Phases!$C$5:$C$10,MATCH(B44,Phases!$A$5:$A$10,0)),"mm-dd")&amp;" to "&amp;TEXT(INDEX(Phases!$D$5:$D$10,MATCH(B44,Phases!$A$5:$A$10,0)),"mm-dd")</f>
        <v>11-30 to 12-20</v>
      </c>
      <c r="D44" s="13" t="s">
        <v>236</v>
      </c>
      <c r="E44" s="13" t="s">
        <v>237</v>
      </c>
      <c r="F44" s="13" t="s">
        <v>238</v>
      </c>
      <c r="G44" s="13" t="s">
        <v>239</v>
      </c>
      <c r="H44" s="14" t="s">
        <v>44</v>
      </c>
      <c r="I44" s="14" t="s">
        <v>45</v>
      </c>
      <c r="J44" s="14"/>
    </row>
    <row r="45" customFormat="false" ht="15" hidden="false" customHeight="false" outlineLevel="0" collapsed="false">
      <c r="A45" s="13" t="s">
        <v>240</v>
      </c>
      <c r="B45" s="13" t="s">
        <v>17</v>
      </c>
      <c r="C45" s="13" t="str">
        <f aca="false">TEXT(INDEX(Phases!$C$5:$C$10,MATCH(B45,Phases!$A$5:$A$10,0)),"mm-dd")&amp;" to "&amp;TEXT(INDEX(Phases!$D$5:$D$10,MATCH(B45,Phases!$A$5:$A$10,0)),"mm-dd")</f>
        <v>11-30 to 12-20</v>
      </c>
      <c r="D45" s="13" t="s">
        <v>241</v>
      </c>
      <c r="E45" s="13"/>
      <c r="F45" s="13" t="s">
        <v>83</v>
      </c>
      <c r="G45" s="13" t="s">
        <v>242</v>
      </c>
      <c r="H45" s="14" t="s">
        <v>44</v>
      </c>
      <c r="I45" s="14" t="s">
        <v>45</v>
      </c>
      <c r="J45" s="14"/>
    </row>
    <row r="46" customFormat="false" ht="15" hidden="false" customHeight="false" outlineLevel="0" collapsed="false">
      <c r="A46" s="13" t="s">
        <v>243</v>
      </c>
      <c r="B46" s="13" t="s">
        <v>17</v>
      </c>
      <c r="C46" s="13" t="str">
        <f aca="false">TEXT(INDEX(Phases!$C$5:$C$10,MATCH(B46,Phases!$A$5:$A$10,0)),"mm-dd")&amp;" to "&amp;TEXT(INDEX(Phases!$D$5:$D$10,MATCH(B46,Phases!$A$5:$A$10,0)),"mm-dd")</f>
        <v>11-30 to 12-20</v>
      </c>
      <c r="D46" s="13" t="s">
        <v>195</v>
      </c>
      <c r="E46" s="13" t="s">
        <v>196</v>
      </c>
      <c r="F46" s="13" t="s">
        <v>146</v>
      </c>
      <c r="G46" s="13" t="s">
        <v>244</v>
      </c>
      <c r="H46" s="14" t="s">
        <v>44</v>
      </c>
      <c r="I46" s="14" t="s">
        <v>45</v>
      </c>
      <c r="J46" s="14"/>
    </row>
    <row r="47" customFormat="false" ht="15" hidden="false" customHeight="false" outlineLevel="0" collapsed="false">
      <c r="A47" s="13" t="s">
        <v>245</v>
      </c>
      <c r="B47" s="13" t="s">
        <v>17</v>
      </c>
      <c r="C47" s="13" t="str">
        <f aca="false">TEXT(INDEX(Phases!$C$5:$C$10,MATCH(B47,Phases!$A$5:$A$10,0)),"mm-dd")&amp;" to "&amp;TEXT(INDEX(Phases!$D$5:$D$10,MATCH(B47,Phases!$A$5:$A$10,0)),"mm-dd")</f>
        <v>11-30 to 12-20</v>
      </c>
      <c r="D47" s="13" t="s">
        <v>246</v>
      </c>
      <c r="E47" s="13" t="s">
        <v>247</v>
      </c>
      <c r="F47" s="13" t="s">
        <v>146</v>
      </c>
      <c r="G47" s="13" t="s">
        <v>248</v>
      </c>
      <c r="H47" s="14" t="s">
        <v>44</v>
      </c>
      <c r="I47" s="14" t="s">
        <v>45</v>
      </c>
      <c r="J47" s="14"/>
    </row>
    <row r="48" customFormat="false" ht="15" hidden="false" customHeight="false" outlineLevel="0" collapsed="false">
      <c r="A48" s="13" t="s">
        <v>249</v>
      </c>
      <c r="B48" s="13" t="s">
        <v>19</v>
      </c>
      <c r="C48" s="13" t="str">
        <f aca="false">TEXT(INDEX(Phases!$C$5:$C$10,MATCH(B48,Phases!$A$5:$A$10,0)),"mm-dd")&amp;" to "&amp;TEXT(INDEX(Phases!$D$5:$D$10,MATCH(B48,Phases!$A$5:$A$10,0)),"mm-dd")</f>
        <v>12-21 to 01-03</v>
      </c>
      <c r="D48" s="13" t="s">
        <v>250</v>
      </c>
      <c r="E48" s="13" t="s">
        <v>251</v>
      </c>
      <c r="F48" s="13" t="s">
        <v>252</v>
      </c>
      <c r="G48" s="13" t="s">
        <v>253</v>
      </c>
      <c r="H48" s="14" t="s">
        <v>44</v>
      </c>
      <c r="I48" s="14" t="s">
        <v>45</v>
      </c>
      <c r="J48" s="14"/>
    </row>
    <row r="49" customFormat="false" ht="23.85" hidden="false" customHeight="false" outlineLevel="0" collapsed="false">
      <c r="A49" s="13" t="s">
        <v>254</v>
      </c>
      <c r="B49" s="13" t="s">
        <v>19</v>
      </c>
      <c r="C49" s="13" t="str">
        <f aca="false">TEXT(INDEX(Phases!$C$5:$C$10,MATCH(B49,Phases!$A$5:$A$10,0)),"mm-dd")&amp;" to "&amp;TEXT(INDEX(Phases!$D$5:$D$10,MATCH(B49,Phases!$A$5:$A$10,0)),"mm-dd")</f>
        <v>12-21 to 01-03</v>
      </c>
      <c r="D49" s="13" t="s">
        <v>255</v>
      </c>
      <c r="E49" s="13" t="s">
        <v>256</v>
      </c>
      <c r="F49" s="13" t="s">
        <v>257</v>
      </c>
      <c r="G49" s="13" t="s">
        <v>258</v>
      </c>
      <c r="H49" s="14" t="s">
        <v>44</v>
      </c>
      <c r="I49" s="14" t="s">
        <v>45</v>
      </c>
      <c r="J49" s="14"/>
    </row>
    <row r="50" customFormat="false" ht="15" hidden="false" customHeight="false" outlineLevel="0" collapsed="false">
      <c r="A50" s="13" t="s">
        <v>259</v>
      </c>
      <c r="B50" s="13" t="s">
        <v>19</v>
      </c>
      <c r="C50" s="13" t="str">
        <f aca="false">TEXT(INDEX(Phases!$C$5:$C$10,MATCH(B50,Phases!$A$5:$A$10,0)),"mm-dd")&amp;" to "&amp;TEXT(INDEX(Phases!$D$5:$D$10,MATCH(B50,Phases!$A$5:$A$10,0)),"mm-dd")</f>
        <v>12-21 to 01-03</v>
      </c>
      <c r="D50" s="13" t="s">
        <v>260</v>
      </c>
      <c r="E50" s="13" t="s">
        <v>261</v>
      </c>
      <c r="F50" s="13" t="s">
        <v>262</v>
      </c>
      <c r="G50" s="13" t="s">
        <v>263</v>
      </c>
      <c r="H50" s="14" t="s">
        <v>44</v>
      </c>
      <c r="I50" s="14" t="s">
        <v>45</v>
      </c>
      <c r="J50" s="14"/>
    </row>
    <row r="51" customFormat="false" ht="15" hidden="false" customHeight="false" outlineLevel="0" collapsed="false">
      <c r="A51" s="13" t="s">
        <v>264</v>
      </c>
      <c r="B51" s="13" t="s">
        <v>19</v>
      </c>
      <c r="C51" s="13" t="str">
        <f aca="false">TEXT(INDEX(Phases!$C$5:$C$10,MATCH(B51,Phases!$A$5:$A$10,0)),"mm-dd")&amp;" to "&amp;TEXT(INDEX(Phases!$D$5:$D$10,MATCH(B51,Phases!$A$5:$A$10,0)),"mm-dd")</f>
        <v>12-21 to 01-03</v>
      </c>
      <c r="D51" s="13" t="s">
        <v>265</v>
      </c>
      <c r="E51" s="13" t="s">
        <v>266</v>
      </c>
      <c r="F51" s="13" t="s">
        <v>166</v>
      </c>
      <c r="G51" s="13" t="s">
        <v>267</v>
      </c>
      <c r="H51" s="14" t="s">
        <v>44</v>
      </c>
      <c r="I51" s="14" t="s">
        <v>45</v>
      </c>
      <c r="J51" s="14"/>
    </row>
    <row r="52" customFormat="false" ht="23.85" hidden="false" customHeight="false" outlineLevel="0" collapsed="false">
      <c r="A52" s="13" t="s">
        <v>268</v>
      </c>
      <c r="B52" s="13" t="s">
        <v>19</v>
      </c>
      <c r="C52" s="13" t="str">
        <f aca="false">TEXT(INDEX(Phases!$C$5:$C$10,MATCH(B52,Phases!$A$5:$A$10,0)),"mm-dd")&amp;" to "&amp;TEXT(INDEX(Phases!$D$5:$D$10,MATCH(B52,Phases!$A$5:$A$10,0)),"mm-dd")</f>
        <v>12-21 to 01-03</v>
      </c>
      <c r="D52" s="13" t="s">
        <v>269</v>
      </c>
      <c r="E52" s="13" t="s">
        <v>270</v>
      </c>
      <c r="F52" s="13" t="s">
        <v>271</v>
      </c>
      <c r="G52" s="13" t="s">
        <v>272</v>
      </c>
      <c r="H52" s="14" t="s">
        <v>44</v>
      </c>
      <c r="I52" s="14" t="s">
        <v>45</v>
      </c>
      <c r="J52" s="14"/>
    </row>
    <row r="53" customFormat="false" ht="15" hidden="false" customHeight="false" outlineLevel="0" collapsed="false">
      <c r="A53" s="13" t="s">
        <v>273</v>
      </c>
      <c r="B53" s="13" t="s">
        <v>19</v>
      </c>
      <c r="C53" s="13" t="str">
        <f aca="false">TEXT(INDEX(Phases!$C$5:$C$10,MATCH(B53,Phases!$A$5:$A$10,0)),"mm-dd")&amp;" to "&amp;TEXT(INDEX(Phases!$D$5:$D$10,MATCH(B53,Phases!$A$5:$A$10,0)),"mm-dd")</f>
        <v>12-21 to 01-03</v>
      </c>
      <c r="D53" s="13" t="s">
        <v>274</v>
      </c>
      <c r="E53" s="13"/>
      <c r="F53" s="13" t="s">
        <v>275</v>
      </c>
      <c r="G53" s="13" t="s">
        <v>276</v>
      </c>
      <c r="H53" s="14" t="s">
        <v>44</v>
      </c>
      <c r="I53" s="14" t="s">
        <v>45</v>
      </c>
      <c r="J53" s="14"/>
    </row>
    <row r="54" customFormat="false" ht="23.85" hidden="false" customHeight="false" outlineLevel="0" collapsed="false">
      <c r="A54" s="13" t="s">
        <v>277</v>
      </c>
      <c r="B54" s="13" t="s">
        <v>19</v>
      </c>
      <c r="C54" s="13" t="str">
        <f aca="false">TEXT(INDEX(Phases!$C$5:$C$10,MATCH(B54,Phases!$A$5:$A$10,0)),"mm-dd")&amp;" to "&amp;TEXT(INDEX(Phases!$D$5:$D$10,MATCH(B54,Phases!$A$5:$A$10,0)),"mm-dd")</f>
        <v>12-21 to 01-03</v>
      </c>
      <c r="D54" s="13" t="s">
        <v>278</v>
      </c>
      <c r="E54" s="13" t="s">
        <v>279</v>
      </c>
      <c r="F54" s="13" t="s">
        <v>280</v>
      </c>
      <c r="G54" s="13" t="s">
        <v>281</v>
      </c>
      <c r="H54" s="14" t="s">
        <v>44</v>
      </c>
      <c r="I54" s="14" t="s">
        <v>45</v>
      </c>
      <c r="J54" s="14"/>
    </row>
    <row r="55" customFormat="false" ht="15" hidden="false" customHeight="false" outlineLevel="0" collapsed="false">
      <c r="A55" s="13" t="s">
        <v>282</v>
      </c>
      <c r="B55" s="13" t="s">
        <v>19</v>
      </c>
      <c r="C55" s="13" t="str">
        <f aca="false">TEXT(INDEX(Phases!$C$5:$C$10,MATCH(B55,Phases!$A$5:$A$10,0)),"mm-dd")&amp;" to "&amp;TEXT(INDEX(Phases!$D$5:$D$10,MATCH(B55,Phases!$A$5:$A$10,0)),"mm-dd")</f>
        <v>12-21 to 01-03</v>
      </c>
      <c r="D55" s="13" t="s">
        <v>283</v>
      </c>
      <c r="E55" s="13" t="s">
        <v>284</v>
      </c>
      <c r="F55" s="13" t="s">
        <v>285</v>
      </c>
      <c r="G55" s="13" t="s">
        <v>286</v>
      </c>
      <c r="H55" s="14" t="s">
        <v>44</v>
      </c>
      <c r="I55" s="14" t="s">
        <v>45</v>
      </c>
      <c r="J55" s="14"/>
    </row>
    <row r="56" customFormat="false" ht="23.85" hidden="false" customHeight="false" outlineLevel="0" collapsed="false">
      <c r="A56" s="13" t="s">
        <v>287</v>
      </c>
      <c r="B56" s="13" t="s">
        <v>21</v>
      </c>
      <c r="C56" s="13" t="str">
        <f aca="false">TEXT(INDEX(Phases!$C$5:$C$10,MATCH(B56,Phases!$A$5:$A$10,0)),"mm-dd")&amp;" to "&amp;TEXT(INDEX(Phases!$D$5:$D$10,MATCH(B56,Phases!$A$5:$A$10,0)),"mm-dd")</f>
        <v>01-04 to 01-18</v>
      </c>
      <c r="D56" s="13" t="s">
        <v>288</v>
      </c>
      <c r="E56" s="13" t="s">
        <v>135</v>
      </c>
      <c r="F56" s="13" t="s">
        <v>136</v>
      </c>
      <c r="G56" s="13" t="s">
        <v>289</v>
      </c>
      <c r="H56" s="14" t="s">
        <v>44</v>
      </c>
      <c r="I56" s="14" t="s">
        <v>45</v>
      </c>
      <c r="J56" s="14"/>
    </row>
    <row r="57" customFormat="false" ht="23.85" hidden="false" customHeight="false" outlineLevel="0" collapsed="false">
      <c r="A57" s="13" t="s">
        <v>290</v>
      </c>
      <c r="B57" s="13" t="s">
        <v>21</v>
      </c>
      <c r="C57" s="13" t="str">
        <f aca="false">TEXT(INDEX(Phases!$C$5:$C$10,MATCH(B57,Phases!$A$5:$A$10,0)),"mm-dd")&amp;" to "&amp;TEXT(INDEX(Phases!$D$5:$D$10,MATCH(B57,Phases!$A$5:$A$10,0)),"mm-dd")</f>
        <v>01-04 to 01-18</v>
      </c>
      <c r="D57" s="13" t="s">
        <v>291</v>
      </c>
      <c r="E57" s="13" t="s">
        <v>292</v>
      </c>
      <c r="F57" s="13" t="s">
        <v>293</v>
      </c>
      <c r="G57" s="13" t="s">
        <v>294</v>
      </c>
      <c r="H57" s="14" t="s">
        <v>44</v>
      </c>
      <c r="I57" s="14" t="s">
        <v>45</v>
      </c>
      <c r="J57" s="14"/>
    </row>
    <row r="58" customFormat="false" ht="15" hidden="false" customHeight="false" outlineLevel="0" collapsed="false">
      <c r="A58" s="13" t="s">
        <v>295</v>
      </c>
      <c r="B58" s="13" t="s">
        <v>21</v>
      </c>
      <c r="C58" s="13" t="str">
        <f aca="false">TEXT(INDEX(Phases!$C$5:$C$10,MATCH(B58,Phases!$A$5:$A$10,0)),"mm-dd")&amp;" to "&amp;TEXT(INDEX(Phases!$D$5:$D$10,MATCH(B58,Phases!$A$5:$A$10,0)),"mm-dd")</f>
        <v>01-04 to 01-18</v>
      </c>
      <c r="D58" s="13" t="s">
        <v>296</v>
      </c>
      <c r="E58" s="13" t="s">
        <v>297</v>
      </c>
      <c r="F58" s="13" t="s">
        <v>298</v>
      </c>
      <c r="G58" s="13" t="s">
        <v>299</v>
      </c>
      <c r="H58" s="14" t="s">
        <v>44</v>
      </c>
      <c r="I58" s="14" t="s">
        <v>45</v>
      </c>
      <c r="J58" s="14"/>
    </row>
    <row r="59" customFormat="false" ht="15" hidden="false" customHeight="false" outlineLevel="0" collapsed="false">
      <c r="A59" s="13" t="s">
        <v>300</v>
      </c>
      <c r="B59" s="13" t="s">
        <v>21</v>
      </c>
      <c r="C59" s="13" t="str">
        <f aca="false">TEXT(INDEX(Phases!$C$5:$C$10,MATCH(B59,Phases!$A$5:$A$10,0)),"mm-dd")&amp;" to "&amp;TEXT(INDEX(Phases!$D$5:$D$10,MATCH(B59,Phases!$A$5:$A$10,0)),"mm-dd")</f>
        <v>01-04 to 01-18</v>
      </c>
      <c r="D59" s="13" t="s">
        <v>301</v>
      </c>
      <c r="E59" s="13" t="s">
        <v>302</v>
      </c>
      <c r="F59" s="13" t="s">
        <v>303</v>
      </c>
      <c r="G59" s="13" t="s">
        <v>304</v>
      </c>
      <c r="H59" s="14" t="s">
        <v>44</v>
      </c>
      <c r="I59" s="14" t="s">
        <v>45</v>
      </c>
      <c r="J59" s="14"/>
    </row>
    <row r="60" customFormat="false" ht="23.85" hidden="false" customHeight="false" outlineLevel="0" collapsed="false">
      <c r="A60" s="13" t="s">
        <v>305</v>
      </c>
      <c r="B60" s="13" t="s">
        <v>21</v>
      </c>
      <c r="C60" s="13" t="str">
        <f aca="false">TEXT(INDEX(Phases!$C$5:$C$10,MATCH(B60,Phases!$A$5:$A$10,0)),"mm-dd")&amp;" to "&amp;TEXT(INDEX(Phases!$D$5:$D$10,MATCH(B60,Phases!$A$5:$A$10,0)),"mm-dd")</f>
        <v>01-04 to 01-18</v>
      </c>
      <c r="D60" s="13" t="s">
        <v>306</v>
      </c>
      <c r="E60" s="13" t="s">
        <v>150</v>
      </c>
      <c r="F60" s="13" t="s">
        <v>307</v>
      </c>
      <c r="G60" s="13" t="s">
        <v>308</v>
      </c>
      <c r="H60" s="14" t="s">
        <v>44</v>
      </c>
      <c r="I60" s="14" t="s">
        <v>45</v>
      </c>
      <c r="J60" s="14"/>
    </row>
    <row r="61" customFormat="false" ht="15" hidden="false" customHeight="false" outlineLevel="0" collapsed="false">
      <c r="A61" s="13" t="s">
        <v>309</v>
      </c>
      <c r="B61" s="13" t="s">
        <v>21</v>
      </c>
      <c r="C61" s="13" t="str">
        <f aca="false">TEXT(INDEX(Phases!$C$5:$C$10,MATCH(B61,Phases!$A$5:$A$10,0)),"mm-dd")&amp;" to "&amp;TEXT(INDEX(Phases!$D$5:$D$10,MATCH(B61,Phases!$A$5:$A$10,0)),"mm-dd")</f>
        <v>01-04 to 01-18</v>
      </c>
      <c r="D61" s="13" t="s">
        <v>310</v>
      </c>
      <c r="E61" s="13" t="s">
        <v>302</v>
      </c>
      <c r="F61" s="13" t="s">
        <v>311</v>
      </c>
      <c r="G61" s="13" t="s">
        <v>312</v>
      </c>
      <c r="H61" s="14" t="s">
        <v>44</v>
      </c>
      <c r="I61" s="14" t="s">
        <v>45</v>
      </c>
      <c r="J61" s="14"/>
    </row>
    <row r="62" customFormat="false" ht="15" hidden="false" customHeight="false" outlineLevel="0" collapsed="false">
      <c r="A62" s="13" t="s">
        <v>313</v>
      </c>
      <c r="B62" s="13" t="s">
        <v>21</v>
      </c>
      <c r="C62" s="13" t="str">
        <f aca="false">TEXT(INDEX(Phases!$C$5:$C$10,MATCH(B62,Phases!$A$5:$A$10,0)),"mm-dd")&amp;" to "&amp;TEXT(INDEX(Phases!$D$5:$D$10,MATCH(B62,Phases!$A$5:$A$10,0)),"mm-dd")</f>
        <v>01-04 to 01-18</v>
      </c>
      <c r="D62" s="13" t="s">
        <v>314</v>
      </c>
      <c r="E62" s="13" t="s">
        <v>315</v>
      </c>
      <c r="F62" s="13" t="s">
        <v>146</v>
      </c>
      <c r="G62" s="13" t="s">
        <v>316</v>
      </c>
      <c r="H62" s="14" t="s">
        <v>44</v>
      </c>
      <c r="I62" s="14" t="s">
        <v>45</v>
      </c>
      <c r="J62" s="14"/>
    </row>
    <row r="63" customFormat="false" ht="15" hidden="false" customHeight="false" outlineLevel="0" collapsed="false">
      <c r="A63" s="13" t="s">
        <v>317</v>
      </c>
      <c r="B63" s="13" t="s">
        <v>21</v>
      </c>
      <c r="C63" s="13" t="str">
        <f aca="false">TEXT(INDEX(Phases!$C$5:$C$10,MATCH(B63,Phases!$A$5:$A$10,0)),"mm-dd")&amp;" to "&amp;TEXT(INDEX(Phases!$D$5:$D$10,MATCH(B63,Phases!$A$5:$A$10,0)),"mm-dd")</f>
        <v>01-04 to 01-18</v>
      </c>
      <c r="D63" s="13" t="s">
        <v>318</v>
      </c>
      <c r="E63" s="13" t="s">
        <v>297</v>
      </c>
      <c r="F63" s="13" t="s">
        <v>319</v>
      </c>
      <c r="G63" s="13" t="s">
        <v>320</v>
      </c>
      <c r="H63" s="14" t="s">
        <v>44</v>
      </c>
      <c r="I63" s="14" t="s">
        <v>45</v>
      </c>
      <c r="J63" s="14"/>
    </row>
    <row r="64" customFormat="false" ht="15" hidden="false" customHeight="false" outlineLevel="0" collapsed="false">
      <c r="A64" s="13" t="s">
        <v>321</v>
      </c>
      <c r="B64" s="13" t="s">
        <v>21</v>
      </c>
      <c r="C64" s="13" t="str">
        <f aca="false">TEXT(INDEX(Phases!$C$5:$C$10,MATCH(B64,Phases!$A$5:$A$10,0)),"mm-dd")&amp;" to "&amp;TEXT(INDEX(Phases!$D$5:$D$10,MATCH(B64,Phases!$A$5:$A$10,0)),"mm-dd")</f>
        <v>01-04 to 01-18</v>
      </c>
      <c r="D64" s="13" t="s">
        <v>322</v>
      </c>
      <c r="E64" s="13" t="s">
        <v>297</v>
      </c>
      <c r="F64" s="13" t="s">
        <v>323</v>
      </c>
      <c r="G64" s="13" t="s">
        <v>324</v>
      </c>
      <c r="H64" s="14" t="s">
        <v>44</v>
      </c>
      <c r="I64" s="14" t="s">
        <v>45</v>
      </c>
      <c r="J64" s="14"/>
    </row>
    <row r="65" customFormat="false" ht="15" hidden="false" customHeight="false" outlineLevel="0" collapsed="false">
      <c r="A65" s="13" t="s">
        <v>325</v>
      </c>
      <c r="B65" s="13" t="s">
        <v>21</v>
      </c>
      <c r="C65" s="13" t="str">
        <f aca="false">TEXT(INDEX(Phases!$C$5:$C$10,MATCH(B65,Phases!$A$5:$A$10,0)),"mm-dd")&amp;" to "&amp;TEXT(INDEX(Phases!$D$5:$D$10,MATCH(B65,Phases!$A$5:$A$10,0)),"mm-dd")</f>
        <v>01-04 to 01-18</v>
      </c>
      <c r="D65" s="13" t="s">
        <v>326</v>
      </c>
      <c r="E65" s="13" t="s">
        <v>297</v>
      </c>
      <c r="F65" s="13" t="s">
        <v>327</v>
      </c>
      <c r="G65" s="13" t="s">
        <v>328</v>
      </c>
      <c r="H65" s="14" t="s">
        <v>44</v>
      </c>
      <c r="I65" s="14" t="s">
        <v>45</v>
      </c>
      <c r="J65" s="14"/>
    </row>
    <row r="66" customFormat="false" ht="15" hidden="false" customHeight="false" outlineLevel="0" collapsed="false">
      <c r="A66" s="13" t="s">
        <v>329</v>
      </c>
      <c r="B66" s="13" t="s">
        <v>21</v>
      </c>
      <c r="C66" s="13" t="str">
        <f aca="false">TEXT(INDEX(Phases!$C$5:$C$10,MATCH(B66,Phases!$A$5:$A$10,0)),"mm-dd")&amp;" to "&amp;TEXT(INDEX(Phases!$D$5:$D$10,MATCH(B66,Phases!$A$5:$A$10,0)),"mm-dd")</f>
        <v>01-04 to 01-18</v>
      </c>
      <c r="D66" s="13" t="s">
        <v>330</v>
      </c>
      <c r="E66" s="13" t="s">
        <v>331</v>
      </c>
      <c r="F66" s="13" t="s">
        <v>332</v>
      </c>
      <c r="G66" s="13" t="s">
        <v>333</v>
      </c>
      <c r="H66" s="14" t="s">
        <v>44</v>
      </c>
      <c r="I66" s="14" t="s">
        <v>45</v>
      </c>
      <c r="J66" s="14"/>
    </row>
    <row r="67" customFormat="false" ht="15" hidden="false" customHeight="false" outlineLevel="0" collapsed="false">
      <c r="A67" s="13" t="s">
        <v>334</v>
      </c>
      <c r="B67" s="13" t="s">
        <v>21</v>
      </c>
      <c r="C67" s="13" t="str">
        <f aca="false">TEXT(INDEX(Phases!$C$5:$C$10,MATCH(B67,Phases!$A$5:$A$10,0)),"mm-dd")&amp;" to "&amp;TEXT(INDEX(Phases!$D$5:$D$10,MATCH(B67,Phases!$A$5:$A$10,0)),"mm-dd")</f>
        <v>01-04 to 01-18</v>
      </c>
      <c r="D67" s="13" t="s">
        <v>335</v>
      </c>
      <c r="E67" s="13" t="s">
        <v>336</v>
      </c>
      <c r="F67" s="13" t="s">
        <v>337</v>
      </c>
      <c r="G67" s="13" t="s">
        <v>338</v>
      </c>
      <c r="H67" s="14" t="s">
        <v>44</v>
      </c>
      <c r="I67" s="14" t="s">
        <v>45</v>
      </c>
      <c r="J67" s="14"/>
    </row>
    <row r="68" customFormat="false" ht="15" hidden="false" customHeight="false" outlineLevel="0" collapsed="false">
      <c r="A68" s="13" t="s">
        <v>339</v>
      </c>
      <c r="B68" s="13" t="s">
        <v>21</v>
      </c>
      <c r="C68" s="13" t="str">
        <f aca="false">TEXT(INDEX(Phases!$C$5:$C$10,MATCH(B68,Phases!$A$5:$A$10,0)),"mm-dd")&amp;" to "&amp;TEXT(INDEX(Phases!$D$5:$D$10,MATCH(B68,Phases!$A$5:$A$10,0)),"mm-dd")</f>
        <v>01-04 to 01-18</v>
      </c>
      <c r="D68" s="13" t="s">
        <v>340</v>
      </c>
      <c r="E68" s="13" t="s">
        <v>341</v>
      </c>
      <c r="F68" s="13" t="s">
        <v>342</v>
      </c>
      <c r="G68" s="13" t="s">
        <v>343</v>
      </c>
      <c r="H68" s="14" t="s">
        <v>44</v>
      </c>
      <c r="I68" s="14" t="s">
        <v>45</v>
      </c>
      <c r="J68" s="14"/>
    </row>
    <row r="69" customFormat="false" ht="23.85" hidden="false" customHeight="false" outlineLevel="0" collapsed="false">
      <c r="A69" s="13" t="s">
        <v>344</v>
      </c>
      <c r="B69" s="13" t="s">
        <v>21</v>
      </c>
      <c r="C69" s="13" t="str">
        <f aca="false">TEXT(INDEX(Phases!$C$5:$C$10,MATCH(B69,Phases!$A$5:$A$10,0)),"mm-dd")&amp;" to "&amp;TEXT(INDEX(Phases!$D$5:$D$10,MATCH(B69,Phases!$A$5:$A$10,0)),"mm-dd")</f>
        <v>01-04 to 01-18</v>
      </c>
      <c r="D69" s="13" t="s">
        <v>345</v>
      </c>
      <c r="E69" s="13" t="s">
        <v>346</v>
      </c>
      <c r="F69" s="13" t="s">
        <v>347</v>
      </c>
      <c r="G69" s="13" t="s">
        <v>348</v>
      </c>
      <c r="H69" s="14" t="s">
        <v>44</v>
      </c>
      <c r="I69" s="14" t="s">
        <v>45</v>
      </c>
      <c r="J69" s="14"/>
    </row>
  </sheetData>
  <autoFilter ref="A1:J69"/>
  <conditionalFormatting sqref="I2:I69">
    <cfRule type="cellIs" priority="2" operator="equal" aboveAverage="0" equalAverage="0" bottom="0" percent="0" rank="0" text="" dxfId="4">
      <formula>"Done"</formula>
    </cfRule>
    <cfRule type="cellIs" priority="3" operator="equal" aboveAverage="0" equalAverage="0" bottom="0" percent="0" rank="0" text="" dxfId="5">
      <formula>"In progress"</formula>
    </cfRule>
  </conditionalFormatting>
  <dataValidations count="1">
    <dataValidation allowBlank="false" errorStyle="stop" operator="between" showDropDown="false" showErrorMessage="false" showInputMessage="false" sqref="I2:I69" type="list">
      <formula1>"Not started,In progress,Done,Dropped"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40"/>
    <col collapsed="false" customWidth="true" hidden="false" outlineLevel="0" max="4" min="4" style="0" width="26"/>
    <col collapsed="false" customWidth="true" hidden="false" outlineLevel="0" max="5" min="5" style="0" width="90"/>
  </cols>
  <sheetData>
    <row r="1" customFormat="false" ht="30" hidden="false" customHeight="true" outlineLevel="0" collapsed="false">
      <c r="A1" s="3" t="s">
        <v>31</v>
      </c>
      <c r="B1" s="3" t="s">
        <v>2</v>
      </c>
      <c r="C1" s="3" t="s">
        <v>33</v>
      </c>
      <c r="D1" s="3" t="s">
        <v>34</v>
      </c>
      <c r="E1" s="3" t="s">
        <v>349</v>
      </c>
    </row>
    <row r="2" customFormat="false" ht="15" hidden="false" customHeight="false" outlineLevel="0" collapsed="false">
      <c r="A2" s="13" t="s">
        <v>39</v>
      </c>
      <c r="B2" s="13" t="s">
        <v>11</v>
      </c>
      <c r="C2" s="13" t="str">
        <f aca="false">INDEX('Tool Map'!$D:$D,MATCH($A2,'Tool Map'!$A:$A,0))</f>
        <v>Create the repo and baselines</v>
      </c>
      <c r="D2" s="13" t="str">
        <f aca="false">IF(INDEX('Tool Map'!$E:$E,MATCH($A2,'Tool Map'!$A:$A,0))="","-",INDEX('Tool Map'!$E:$E,MATCH($A2,'Tool Map'!$A:$A,0)))</f>
        <v>OSS-001, CHG-030</v>
      </c>
      <c r="E2" s="13" t="s">
        <v>350</v>
      </c>
    </row>
    <row r="3" customFormat="false" ht="23.85" hidden="false" customHeight="false" outlineLevel="0" collapsed="false">
      <c r="A3" s="13" t="s">
        <v>46</v>
      </c>
      <c r="B3" s="13" t="s">
        <v>11</v>
      </c>
      <c r="C3" s="13" t="str">
        <f aca="false">INDEX('Tool Map'!$D:$D,MATCH($A3,'Tool Map'!$A:$A,0))</f>
        <v>Reproducible front-end toolchain</v>
      </c>
      <c r="D3" s="13" t="str">
        <f aca="false">IF(INDEX('Tool Map'!$E:$E,MATCH($A3,'Tool Map'!$A:$A,0))="","-",INDEX('Tool Map'!$E:$E,MATCH($A3,'Tool Map'!$A:$A,0)))</f>
        <v>UVM-049</v>
      </c>
      <c r="E3" s="13" t="s">
        <v>351</v>
      </c>
    </row>
    <row r="4" customFormat="false" ht="15" hidden="false" customHeight="false" outlineLevel="0" collapsed="false">
      <c r="A4" s="13" t="s">
        <v>51</v>
      </c>
      <c r="B4" s="13" t="s">
        <v>11</v>
      </c>
      <c r="C4" s="13" t="str">
        <f aca="false">INDEX('Tool Map'!$D:$D,MATCH($A4,'Tool Map'!$A:$A,0))</f>
        <v>Commit-time checks</v>
      </c>
      <c r="D4" s="13" t="str">
        <f aca="false">IF(INDEX('Tool Map'!$E:$E,MATCH($A4,'Tool Map'!$A:$A,0))="","-",INDEX('Tool Map'!$E:$E,MATCH($A4,'Tool Map'!$A:$A,0)))</f>
        <v>NET-051, CHG-004</v>
      </c>
      <c r="E4" s="13" t="s">
        <v>352</v>
      </c>
    </row>
    <row r="5" customFormat="false" ht="23.85" hidden="false" customHeight="false" outlineLevel="0" collapsed="false">
      <c r="A5" s="13" t="s">
        <v>56</v>
      </c>
      <c r="B5" s="13" t="s">
        <v>11</v>
      </c>
      <c r="C5" s="13" t="str">
        <f aca="false">INDEX('Tool Map'!$D:$D,MATCH($A5,'Tool Map'!$A:$A,0))</f>
        <v>Freeze the ISA spec</v>
      </c>
      <c r="D5" s="13" t="str">
        <f aca="false">IF(INDEX('Tool Map'!$E:$E,MATCH($A5,'Tool Map'!$A:$A,0))="","-",INDEX('Tool Map'!$E:$E,MATCH($A5,'Tool Map'!$A:$A,0)))</f>
        <v>ISA-018</v>
      </c>
      <c r="E5" s="13" t="s">
        <v>353</v>
      </c>
    </row>
    <row r="6" customFormat="false" ht="23.85" hidden="false" customHeight="false" outlineLevel="0" collapsed="false">
      <c r="A6" s="13" t="s">
        <v>61</v>
      </c>
      <c r="B6" s="13" t="s">
        <v>11</v>
      </c>
      <c r="C6" s="13" t="str">
        <f aca="false">INDEX('Tool Map'!$D:$D,MATCH($A6,'Tool Map'!$A:$A,0))</f>
        <v>Freeze the register map</v>
      </c>
      <c r="D6" s="13" t="str">
        <f aca="false">IF(INDEX('Tool Map'!$E:$E,MATCH($A6,'Tool Map'!$A:$A,0))="","-",INDEX('Tool Map'!$E:$E,MATCH($A6,'Tool Map'!$A:$A,0)))</f>
        <v>HIF-010</v>
      </c>
      <c r="E6" s="13" t="s">
        <v>354</v>
      </c>
    </row>
    <row r="7" customFormat="false" ht="15" hidden="false" customHeight="false" outlineLevel="0" collapsed="false">
      <c r="A7" s="13" t="s">
        <v>66</v>
      </c>
      <c r="B7" s="13" t="s">
        <v>11</v>
      </c>
      <c r="C7" s="13" t="str">
        <f aca="false">INDEX('Tool Map'!$D:$D,MATCH($A7,'Tool Map'!$A:$A,0))</f>
        <v>Lint the RTL</v>
      </c>
      <c r="D7" s="13" t="str">
        <f aca="false">IF(INDEX('Tool Map'!$E:$E,MATCH($A7,'Tool Map'!$A:$A,0))="","-",INDEX('Tool Map'!$E:$E,MATCH($A7,'Tool Map'!$A:$A,0)))</f>
        <v>RTL-005</v>
      </c>
      <c r="E7" s="13" t="s">
        <v>355</v>
      </c>
    </row>
    <row r="8" customFormat="false" ht="23.85" hidden="false" customHeight="false" outlineLevel="0" collapsed="false">
      <c r="A8" s="13" t="s">
        <v>71</v>
      </c>
      <c r="B8" s="13" t="s">
        <v>11</v>
      </c>
      <c r="C8" s="13" t="str">
        <f aca="false">INDEX('Tool Map'!$D:$D,MATCH($A8,'Tool Map'!$A:$A,0))</f>
        <v>UVM spike</v>
      </c>
      <c r="D8" s="13" t="str">
        <f aca="false">IF(INDEX('Tool Map'!$E:$E,MATCH($A8,'Tool Map'!$A:$A,0))="","-",INDEX('Tool Map'!$E:$E,MATCH($A8,'Tool Map'!$A:$A,0)))</f>
        <v>UVM-047</v>
      </c>
      <c r="E8" s="13" t="s">
        <v>356</v>
      </c>
    </row>
    <row r="9" customFormat="false" ht="23.85" hidden="false" customHeight="false" outlineLevel="0" collapsed="false">
      <c r="A9" s="13" t="s">
        <v>76</v>
      </c>
      <c r="B9" s="13" t="s">
        <v>11</v>
      </c>
      <c r="C9" s="13" t="str">
        <f aca="false">INDEX('Tool Map'!$D:$D,MATCH($A9,'Tool Map'!$A:$A,0))</f>
        <v>Draft the module specs</v>
      </c>
      <c r="D9" s="13" t="str">
        <f aca="false">IF(INDEX('Tool Map'!$E:$E,MATCH($A9,'Tool Map'!$A:$A,0))="","-",INDEX('Tool Map'!$E:$E,MATCH($A9,'Tool Map'!$A:$A,0)))</f>
        <v>ARC-011, SPC-001</v>
      </c>
      <c r="E9" s="13" t="s">
        <v>357</v>
      </c>
    </row>
    <row r="10" customFormat="false" ht="15" hidden="false" customHeight="false" outlineLevel="0" collapsed="false">
      <c r="A10" s="13" t="s">
        <v>81</v>
      </c>
      <c r="B10" s="13" t="s">
        <v>11</v>
      </c>
      <c r="C10" s="13" t="str">
        <f aca="false">INDEX('Tool Map'!$D:$D,MATCH($A10,'Tool Map'!$A:$A,0))</f>
        <v>Waveform viewing</v>
      </c>
      <c r="D10" s="13" t="str">
        <f aca="false">IF(INDEX('Tool Map'!$E:$E,MATCH($A10,'Tool Map'!$A:$A,0))="","-",INDEX('Tool Map'!$E:$E,MATCH($A10,'Tool Map'!$A:$A,0)))</f>
        <v>-</v>
      </c>
      <c r="E10" s="13" t="s">
        <v>358</v>
      </c>
    </row>
    <row r="11" customFormat="false" ht="23.85" hidden="false" customHeight="false" outlineLevel="0" collapsed="false">
      <c r="A11" s="13" t="s">
        <v>85</v>
      </c>
      <c r="B11" s="13" t="s">
        <v>13</v>
      </c>
      <c r="C11" s="13" t="str">
        <f aca="false">INDEX('Tool Map'!$D:$D,MATCH($A11,'Tool Map'!$A:$A,0))</f>
        <v>Lane datapath, decode, imem, I/O synchronizer</v>
      </c>
      <c r="D11" s="13" t="str">
        <f aca="false">IF(INDEX('Tool Map'!$E:$E,MATCH($A11,'Tool Map'!$A:$A,0))="","-",INDEX('Tool Map'!$E:$E,MATCH($A11,'Tool Map'!$A:$A,0)))</f>
        <v>ARC-001, ARC-002, ISA-001 to 010, IO-005</v>
      </c>
      <c r="E11" s="13" t="s">
        <v>359</v>
      </c>
    </row>
    <row r="12" customFormat="false" ht="23.85" hidden="false" customHeight="false" outlineLevel="0" collapsed="false">
      <c r="A12" s="13" t="s">
        <v>89</v>
      </c>
      <c r="B12" s="13" t="s">
        <v>13</v>
      </c>
      <c r="C12" s="13" t="str">
        <f aca="false">INDEX('Tool Map'!$D:$D,MATCH($A12,'Tool Map'!$A:$A,0))</f>
        <v>Assembler</v>
      </c>
      <c r="D12" s="13" t="str">
        <f aca="false">IF(INDEX('Tool Map'!$E:$E,MATCH($A12,'Tool Map'!$A:$A,0))="","-",INDEX('Tool Map'!$E:$E,MATCH($A12,'Tool Map'!$A:$A,0)))</f>
        <v>SW-001</v>
      </c>
      <c r="E12" s="13" t="s">
        <v>360</v>
      </c>
    </row>
    <row r="13" customFormat="false" ht="23.85" hidden="false" customHeight="false" outlineLevel="0" collapsed="false">
      <c r="A13" s="13" t="s">
        <v>94</v>
      </c>
      <c r="B13" s="13" t="s">
        <v>13</v>
      </c>
      <c r="C13" s="13" t="str">
        <f aca="false">INDEX('Tool Map'!$D:$D,MATCH($A13,'Tool Map'!$A:$A,0))</f>
        <v>Cycle-accurate ISS</v>
      </c>
      <c r="D13" s="13" t="str">
        <f aca="false">IF(INDEX('Tool Map'!$E:$E,MATCH($A13,'Tool Map'!$A:$A,0))="","-",INDEX('Tool Map'!$E:$E,MATCH($A13,'Tool Map'!$A:$A,0)))</f>
        <v>SW-003, DIF-007</v>
      </c>
      <c r="E13" s="13" t="s">
        <v>361</v>
      </c>
    </row>
    <row r="14" customFormat="false" ht="23.85" hidden="false" customHeight="false" outlineLevel="0" collapsed="false">
      <c r="A14" s="13" t="s">
        <v>99</v>
      </c>
      <c r="B14" s="13" t="s">
        <v>13</v>
      </c>
      <c r="C14" s="13" t="str">
        <f aca="false">INDEX('Tool Map'!$D:$D,MATCH($A14,'Tool Map'!$A:$A,0))</f>
        <v>ISS pin waveforms</v>
      </c>
      <c r="D14" s="13" t="str">
        <f aca="false">IF(INDEX('Tool Map'!$E:$E,MATCH($A14,'Tool Map'!$A:$A,0))="","-",INDEX('Tool Map'!$E:$E,MATCH($A14,'Tool Map'!$A:$A,0)))</f>
        <v>SW-003</v>
      </c>
      <c r="E14" s="13" t="s">
        <v>362</v>
      </c>
    </row>
    <row r="15" customFormat="false" ht="15" hidden="false" customHeight="false" outlineLevel="0" collapsed="false">
      <c r="A15" s="13" t="s">
        <v>104</v>
      </c>
      <c r="B15" s="13" t="s">
        <v>13</v>
      </c>
      <c r="C15" s="13" t="str">
        <f aca="false">INDEX('Tool Map'!$D:$D,MATCH($A15,'Tool Map'!$A:$A,0))</f>
        <v>UVM skeleton</v>
      </c>
      <c r="D15" s="13" t="str">
        <f aca="false">IF(INDEX('Tool Map'!$E:$E,MATCH($A15,'Tool Map'!$A:$A,0))="","-",INDEX('Tool Map'!$E:$E,MATCH($A15,'Tool Map'!$A:$A,0)))</f>
        <v>UVM-001 to 006</v>
      </c>
      <c r="E15" s="13" t="s">
        <v>363</v>
      </c>
    </row>
    <row r="16" customFormat="false" ht="15" hidden="false" customHeight="false" outlineLevel="0" collapsed="false">
      <c r="A16" s="13" t="s">
        <v>109</v>
      </c>
      <c r="B16" s="13" t="s">
        <v>13</v>
      </c>
      <c r="C16" s="13" t="str">
        <f aca="false">INDEX('Tool Map'!$D:$D,MATCH($A16,'Tool Map'!$A:$A,0))</f>
        <v>SPI host agent and pin agent</v>
      </c>
      <c r="D16" s="13" t="str">
        <f aca="false">IF(INDEX('Tool Map'!$E:$E,MATCH($A16,'Tool Map'!$A:$A,0))="","-",INDEX('Tool Map'!$E:$E,MATCH($A16,'Tool Map'!$A:$A,0)))</f>
        <v>UVM-007, UVM-008</v>
      </c>
      <c r="E16" s="13" t="s">
        <v>364</v>
      </c>
    </row>
    <row r="17" customFormat="false" ht="23.85" hidden="false" customHeight="false" outlineLevel="0" collapsed="false">
      <c r="A17" s="13" t="s">
        <v>113</v>
      </c>
      <c r="B17" s="13" t="s">
        <v>13</v>
      </c>
      <c r="C17" s="13" t="str">
        <f aca="false">INDEX('Tool Map'!$D:$D,MATCH($A17,'Tool Map'!$A:$A,0))</f>
        <v>UART partner agent and UART firmware</v>
      </c>
      <c r="D17" s="13" t="str">
        <f aca="false">IF(INDEX('Tool Map'!$E:$E,MATCH($A17,'Tool Map'!$A:$A,0))="","-",INDEX('Tool Map'!$E:$E,MATCH($A17,'Tool Map'!$A:$A,0)))</f>
        <v>UVM-009, PRO-001</v>
      </c>
      <c r="E17" s="13" t="s">
        <v>365</v>
      </c>
    </row>
    <row r="18" customFormat="false" ht="15" hidden="false" customHeight="false" outlineLevel="0" collapsed="false">
      <c r="A18" s="13" t="s">
        <v>118</v>
      </c>
      <c r="B18" s="13" t="s">
        <v>13</v>
      </c>
      <c r="C18" s="13" t="str">
        <f aca="false">INDEX('Tool Map'!$D:$D,MATCH($A18,'Tool Map'!$A:$A,0))</f>
        <v>Directed opcode tests</v>
      </c>
      <c r="D18" s="13" t="str">
        <f aca="false">IF(INDEX('Tool Map'!$E:$E,MATCH($A18,'Tool Map'!$A:$A,0))="","-",INDEX('Tool Map'!$E:$E,MATCH($A18,'Tool Map'!$A:$A,0)))</f>
        <v>UVM-023</v>
      </c>
      <c r="E18" s="13" t="s">
        <v>366</v>
      </c>
    </row>
    <row r="19" customFormat="false" ht="15" hidden="false" customHeight="false" outlineLevel="0" collapsed="false">
      <c r="A19" s="13" t="s">
        <v>123</v>
      </c>
      <c r="B19" s="13" t="s">
        <v>13</v>
      </c>
      <c r="C19" s="13" t="str">
        <f aca="false">INDEX('Tool Map'!$D:$D,MATCH($A19,'Tool Map'!$A:$A,0))</f>
        <v>Smoke regression</v>
      </c>
      <c r="D19" s="13" t="str">
        <f aca="false">IF(INDEX('Tool Map'!$E:$E,MATCH($A19,'Tool Map'!$A:$A,0))="","-",INDEX('Tool Map'!$E:$E,MATCH($A19,'Tool Map'!$A:$A,0)))</f>
        <v>UVM-029, UVM-040</v>
      </c>
      <c r="E19" s="13" t="s">
        <v>367</v>
      </c>
    </row>
    <row r="20" customFormat="false" ht="15" hidden="false" customHeight="false" outlineLevel="0" collapsed="false">
      <c r="A20" s="13" t="s">
        <v>128</v>
      </c>
      <c r="B20" s="13" t="s">
        <v>13</v>
      </c>
      <c r="C20" s="13" t="str">
        <f aca="false">INDEX('Tool Map'!$D:$D,MATCH($A20,'Tool Map'!$A:$A,0))</f>
        <v>Timing diagrams for the spec</v>
      </c>
      <c r="D20" s="13" t="str">
        <f aca="false">IF(INDEX('Tool Map'!$E:$E,MATCH($A20,'Tool Map'!$A:$A,0))="","-",INDEX('Tool Map'!$E:$E,MATCH($A20,'Tool Map'!$A:$A,0)))</f>
        <v>SPC-014</v>
      </c>
      <c r="E20" s="13" t="s">
        <v>368</v>
      </c>
    </row>
    <row r="21" customFormat="false" ht="23.85" hidden="false" customHeight="false" outlineLevel="0" collapsed="false">
      <c r="A21" s="13" t="s">
        <v>133</v>
      </c>
      <c r="B21" s="13" t="s">
        <v>13</v>
      </c>
      <c r="C21" s="13" t="str">
        <f aca="false">INDEX('Tool Map'!$D:$D,MATCH($A21,'Tool Map'!$A:$A,0))</f>
        <v>Get the Tiny Tapeout IHP flow running (synthesis)</v>
      </c>
      <c r="D21" s="13" t="str">
        <f aca="false">IF(INDEX('Tool Map'!$E:$E,MATCH($A21,'Tool Map'!$A:$A,0))="","-",INDEX('Tool Map'!$E:$E,MATCH($A21,'Tool Map'!$A:$A,0)))</f>
        <v>CON-001</v>
      </c>
      <c r="E21" s="13" t="s">
        <v>369</v>
      </c>
    </row>
    <row r="22" customFormat="false" ht="15" hidden="false" customHeight="false" outlineLevel="0" collapsed="false">
      <c r="A22" s="13" t="s">
        <v>138</v>
      </c>
      <c r="B22" s="13" t="s">
        <v>13</v>
      </c>
      <c r="C22" s="13" t="str">
        <f aca="false">INDEX('Tool Map'!$D:$D,MATCH($A22,'Tool Map'!$A:$A,0))</f>
        <v>Set the 6x4 tile size</v>
      </c>
      <c r="D22" s="13" t="str">
        <f aca="false">IF(INDEX('Tool Map'!$E:$E,MATCH($A22,'Tool Map'!$A:$A,0))="","-",INDEX('Tool Map'!$E:$E,MATCH($A22,'Tool Map'!$A:$A,0)))</f>
        <v>CON-002</v>
      </c>
      <c r="E22" s="13" t="s">
        <v>370</v>
      </c>
    </row>
    <row r="23" customFormat="false" ht="15" hidden="false" customHeight="false" outlineLevel="0" collapsed="false">
      <c r="A23" s="13" t="s">
        <v>143</v>
      </c>
      <c r="B23" s="13" t="s">
        <v>13</v>
      </c>
      <c r="C23" s="13" t="str">
        <f aca="false">INDEX('Tool Map'!$D:$D,MATCH($A23,'Tool Map'!$A:$A,0))</f>
        <v>First synthesis and area baseline</v>
      </c>
      <c r="D23" s="13" t="str">
        <f aca="false">IF(INDEX('Tool Map'!$E:$E,MATCH($A23,'Tool Map'!$A:$A,0))="","-",INDEX('Tool Map'!$E:$E,MATCH($A23,'Tool Map'!$A:$A,0)))</f>
        <v>PHY-004, CON-004</v>
      </c>
      <c r="E23" s="13" t="s">
        <v>371</v>
      </c>
    </row>
    <row r="24" customFormat="false" ht="23.85" hidden="false" customHeight="false" outlineLevel="0" collapsed="false">
      <c r="A24" s="13" t="s">
        <v>148</v>
      </c>
      <c r="B24" s="13" t="s">
        <v>13</v>
      </c>
      <c r="C24" s="13" t="str">
        <f aca="false">INDEX('Tool Map'!$D:$D,MATCH($A24,'Tool Map'!$A:$A,0))</f>
        <v>Gate-level cell-model feasibility check</v>
      </c>
      <c r="D24" s="13" t="str">
        <f aca="false">IF(INDEX('Tool Map'!$E:$E,MATCH($A24,'Tool Map'!$A:$A,0))="","-",INDEX('Tool Map'!$E:$E,MATCH($A24,'Tool Map'!$A:$A,0)))</f>
        <v>UVM-038</v>
      </c>
      <c r="E24" s="13" t="s">
        <v>372</v>
      </c>
    </row>
    <row r="25" customFormat="false" ht="23.85" hidden="false" customHeight="false" outlineLevel="0" collapsed="false">
      <c r="A25" s="13" t="s">
        <v>153</v>
      </c>
      <c r="B25" s="13" t="s">
        <v>15</v>
      </c>
      <c r="C25" s="13" t="str">
        <f aca="false">INDEX('Tool Map'!$D:$D,MATCH($A25,'Tool Map'!$A:$A,0))</f>
        <v>Second lane, crossbar, conflict policy, open drain</v>
      </c>
      <c r="D25" s="13" t="str">
        <f aca="false">IF(INDEX('Tool Map'!$E:$E,MATCH($A25,'Tool Map'!$A:$A,0))="","-",INDEX('Tool Map'!$E:$E,MATCH($A25,'Tool Map'!$A:$A,0)))</f>
        <v>ARC-001, IO-001 to 004</v>
      </c>
      <c r="E25" s="13" t="s">
        <v>373</v>
      </c>
    </row>
    <row r="26" customFormat="false" ht="15" hidden="false" customHeight="false" outlineLevel="0" collapsed="false">
      <c r="A26" s="13" t="s">
        <v>157</v>
      </c>
      <c r="B26" s="13" t="s">
        <v>15</v>
      </c>
      <c r="C26" s="13" t="str">
        <f aca="false">INDEX('Tool Map'!$D:$D,MATCH($A26,'Tool Map'!$A:$A,0))</f>
        <v>FIFOs, event flags, sync start</v>
      </c>
      <c r="D26" s="13" t="str">
        <f aca="false">IF(INDEX('Tool Map'!$E:$E,MATCH($A26,'Tool Map'!$A:$A,0))="","-",INDEX('Tool Map'!$E:$E,MATCH($A26,'Tool Map'!$A:$A,0)))</f>
        <v>ARC-003, 005, 007, 009</v>
      </c>
      <c r="E26" s="13" t="s">
        <v>374</v>
      </c>
    </row>
    <row r="27" customFormat="false" ht="15" hidden="false" customHeight="false" outlineLevel="0" collapsed="false">
      <c r="A27" s="13" t="s">
        <v>160</v>
      </c>
      <c r="B27" s="13" t="s">
        <v>15</v>
      </c>
      <c r="C27" s="13" t="str">
        <f aca="false">INDEX('Tool Map'!$D:$D,MATCH($A27,'Tool Map'!$A:$A,0))</f>
        <v>Host SPI slave and registers</v>
      </c>
      <c r="D27" s="13" t="str">
        <f aca="false">IF(INDEX('Tool Map'!$E:$E,MATCH($A27,'Tool Map'!$A:$A,0))="","-",INDEX('Tool Map'!$E:$E,MATCH($A27,'Tool Map'!$A:$A,0)))</f>
        <v>HIF-001 to 004, 006, 009</v>
      </c>
      <c r="E27" s="13" t="s">
        <v>375</v>
      </c>
    </row>
    <row r="28" customFormat="false" ht="15" hidden="false" customHeight="false" outlineLevel="0" collapsed="false">
      <c r="A28" s="13" t="s">
        <v>163</v>
      </c>
      <c r="B28" s="13" t="s">
        <v>15</v>
      </c>
      <c r="C28" s="13" t="str">
        <f aca="false">INDEX('Tool Map'!$D:$D,MATCH($A28,'Tool Map'!$A:$A,0))</f>
        <v>Register-model generation</v>
      </c>
      <c r="D28" s="13" t="str">
        <f aca="false">IF(INDEX('Tool Map'!$E:$E,MATCH($A28,'Tool Map'!$A:$A,0))="","-",INDEX('Tool Map'!$E:$E,MATCH($A28,'Tool Map'!$A:$A,0)))</f>
        <v>UVM-015, HIF-010</v>
      </c>
      <c r="E28" s="13" t="s">
        <v>376</v>
      </c>
    </row>
    <row r="29" customFormat="false" ht="15" hidden="false" customHeight="false" outlineLevel="0" collapsed="false">
      <c r="A29" s="13" t="s">
        <v>168</v>
      </c>
      <c r="B29" s="13" t="s">
        <v>15</v>
      </c>
      <c r="C29" s="13" t="str">
        <f aca="false">INDEX('Tool Map'!$D:$D,MATCH($A29,'Tool Map'!$A:$A,0))</f>
        <v>Register tests</v>
      </c>
      <c r="D29" s="13" t="str">
        <f aca="false">IF(INDEX('Tool Map'!$E:$E,MATCH($A29,'Tool Map'!$A:$A,0))="","-",INDEX('Tool Map'!$E:$E,MATCH($A29,'Tool Map'!$A:$A,0)))</f>
        <v>UVM-015</v>
      </c>
      <c r="E29" s="13" t="s">
        <v>377</v>
      </c>
    </row>
    <row r="30" customFormat="false" ht="23.85" hidden="false" customHeight="false" outlineLevel="0" collapsed="false">
      <c r="A30" s="13" t="s">
        <v>172</v>
      </c>
      <c r="B30" s="13" t="s">
        <v>15</v>
      </c>
      <c r="C30" s="13" t="str">
        <f aca="false">INDEX('Tool Map'!$D:$D,MATCH($A30,'Tool Map'!$A:$A,0))</f>
        <v>SPI and I2C partner agents</v>
      </c>
      <c r="D30" s="13" t="str">
        <f aca="false">IF(INDEX('Tool Map'!$E:$E,MATCH($A30,'Tool Map'!$A:$A,0))="","-",INDEX('Tool Map'!$E:$E,MATCH($A30,'Tool Map'!$A:$A,0)))</f>
        <v>UVM-010, UVM-011</v>
      </c>
      <c r="E30" s="13" t="s">
        <v>378</v>
      </c>
    </row>
    <row r="31" customFormat="false" ht="15" hidden="false" customHeight="false" outlineLevel="0" collapsed="false">
      <c r="A31" s="13" t="s">
        <v>176</v>
      </c>
      <c r="B31" s="13" t="s">
        <v>15</v>
      </c>
      <c r="C31" s="13" t="str">
        <f aca="false">INDEX('Tool Map'!$D:$D,MATCH($A31,'Tool Map'!$A:$A,0))</f>
        <v>SPI/I2C firmware and two-lane demo</v>
      </c>
      <c r="D31" s="13" t="str">
        <f aca="false">IF(INDEX('Tool Map'!$E:$E,MATCH($A31,'Tool Map'!$A:$A,0))="","-",INDEX('Tool Map'!$E:$E,MATCH($A31,'Tool Map'!$A:$A,0)))</f>
        <v>PRO-002, 003, 011</v>
      </c>
      <c r="E31" s="13" t="s">
        <v>379</v>
      </c>
    </row>
    <row r="32" customFormat="false" ht="15" hidden="false" customHeight="false" outlineLevel="0" collapsed="false">
      <c r="A32" s="13" t="s">
        <v>181</v>
      </c>
      <c r="B32" s="13" t="s">
        <v>15</v>
      </c>
      <c r="C32" s="13" t="str">
        <f aca="false">INDEX('Tool Map'!$D:$D,MATCH($A32,'Tool Map'!$A:$A,0))</f>
        <v>FIFO and protocol scoreboards</v>
      </c>
      <c r="D32" s="13" t="str">
        <f aca="false">IF(INDEX('Tool Map'!$E:$E,MATCH($A32,'Tool Map'!$A:$A,0))="","-",INDEX('Tool Map'!$E:$E,MATCH($A32,'Tool Map'!$A:$A,0)))</f>
        <v>UVM-018, UVM-019</v>
      </c>
      <c r="E32" s="13" t="s">
        <v>380</v>
      </c>
    </row>
    <row r="33" customFormat="false" ht="15" hidden="false" customHeight="false" outlineLevel="0" collapsed="false">
      <c r="A33" s="13" t="s">
        <v>185</v>
      </c>
      <c r="B33" s="13" t="s">
        <v>15</v>
      </c>
      <c r="C33" s="13" t="str">
        <f aca="false">INDEX('Tool Map'!$D:$D,MATCH($A33,'Tool Map'!$A:$A,0))</f>
        <v>Host Python library</v>
      </c>
      <c r="D33" s="13" t="str">
        <f aca="false">IF(INDEX('Tool Map'!$E:$E,MATCH($A33,'Tool Map'!$A:$A,0))="","-",INDEX('Tool Map'!$E:$E,MATCH($A33,'Tool Map'!$A:$A,0)))</f>
        <v>SW-004</v>
      </c>
      <c r="E33" s="13" t="s">
        <v>381</v>
      </c>
    </row>
    <row r="34" customFormat="false" ht="15" hidden="false" customHeight="false" outlineLevel="0" collapsed="false">
      <c r="A34" s="13" t="s">
        <v>189</v>
      </c>
      <c r="B34" s="13" t="s">
        <v>15</v>
      </c>
      <c r="C34" s="13" t="str">
        <f aca="false">INDEX('Tool Map'!$D:$D,MATCH($A34,'Tool Map'!$A:$A,0))</f>
        <v>Block diagrams</v>
      </c>
      <c r="D34" s="13" t="str">
        <f aca="false">IF(INDEX('Tool Map'!$E:$E,MATCH($A34,'Tool Map'!$A:$A,0))="","-",INDEX('Tool Map'!$E:$E,MATCH($A34,'Tool Map'!$A:$A,0)))</f>
        <v>SPC-013</v>
      </c>
      <c r="E34" s="13" t="s">
        <v>382</v>
      </c>
    </row>
    <row r="35" customFormat="false" ht="15" hidden="false" customHeight="false" outlineLevel="0" collapsed="false">
      <c r="A35" s="13" t="s">
        <v>194</v>
      </c>
      <c r="B35" s="13" t="s">
        <v>15</v>
      </c>
      <c r="C35" s="13" t="str">
        <f aca="false">INDEX('Tool Map'!$D:$D,MATCH($A35,'Tool Map'!$A:$A,0))</f>
        <v>Re-run synthesis for area (no place-and-route)</v>
      </c>
      <c r="D35" s="13" t="str">
        <f aca="false">IF(INDEX('Tool Map'!$E:$E,MATCH($A35,'Tool Map'!$A:$A,0))="","-",INDEX('Tool Map'!$E:$E,MATCH($A35,'Tool Map'!$A:$A,0)))</f>
        <v>PHY-004</v>
      </c>
      <c r="E35" s="13" t="s">
        <v>383</v>
      </c>
    </row>
    <row r="36" customFormat="false" ht="23.85" hidden="false" customHeight="false" outlineLevel="0" collapsed="false">
      <c r="A36" s="13" t="s">
        <v>198</v>
      </c>
      <c r="B36" s="13" t="s">
        <v>17</v>
      </c>
      <c r="C36" s="13" t="str">
        <f aca="false">INDEX('Tool Map'!$D:$D,MATCH($A36,'Tool Map'!$A:$A,0))</f>
        <v>DPI reference-model scoreboard</v>
      </c>
      <c r="D36" s="13" t="str">
        <f aca="false">IF(INDEX('Tool Map'!$E:$E,MATCH($A36,'Tool Map'!$A:$A,0))="","-",INDEX('Tool Map'!$E:$E,MATCH($A36,'Tool Map'!$A:$A,0)))</f>
        <v>UVM-016, UVM-017</v>
      </c>
      <c r="E36" s="13" t="s">
        <v>384</v>
      </c>
    </row>
    <row r="37" customFormat="false" ht="15" hidden="false" customHeight="false" outlineLevel="0" collapsed="false">
      <c r="A37" s="13" t="s">
        <v>203</v>
      </c>
      <c r="B37" s="13" t="s">
        <v>17</v>
      </c>
      <c r="C37" s="13" t="str">
        <f aca="false">INDEX('Tool Map'!$D:$D,MATCH($A37,'Tool Map'!$A:$A,0))</f>
        <v>Constrained-random instruction generator</v>
      </c>
      <c r="D37" s="13" t="str">
        <f aca="false">IF(INDEX('Tool Map'!$E:$E,MATCH($A37,'Tool Map'!$A:$A,0))="","-",INDEX('Tool Map'!$E:$E,MATCH($A37,'Tool Map'!$A:$A,0)))</f>
        <v>UVM-022</v>
      </c>
      <c r="E37" s="13" t="s">
        <v>385</v>
      </c>
    </row>
    <row r="38" customFormat="false" ht="15" hidden="false" customHeight="false" outlineLevel="0" collapsed="false">
      <c r="A38" s="13" t="s">
        <v>208</v>
      </c>
      <c r="B38" s="13" t="s">
        <v>17</v>
      </c>
      <c r="C38" s="13" t="str">
        <f aca="false">INDEX('Tool Map'!$D:$D,MATCH($A38,'Tool Map'!$A:$A,0))</f>
        <v>Covergroups</v>
      </c>
      <c r="D38" s="13" t="str">
        <f aca="false">IF(INDEX('Tool Map'!$E:$E,MATCH($A38,'Tool Map'!$A:$A,0))="","-",INDEX('Tool Map'!$E:$E,MATCH($A38,'Tool Map'!$A:$A,0)))</f>
        <v>UVM-031, UVM-032</v>
      </c>
      <c r="E38" s="13" t="s">
        <v>386</v>
      </c>
    </row>
    <row r="39" customFormat="false" ht="15" hidden="false" customHeight="false" outlineLevel="0" collapsed="false">
      <c r="A39" s="13" t="s">
        <v>213</v>
      </c>
      <c r="B39" s="13" t="s">
        <v>17</v>
      </c>
      <c r="C39" s="13" t="str">
        <f aca="false">INDEX('Tool Map'!$D:$D,MATCH($A39,'Tool Map'!$A:$A,0))</f>
        <v>Coverage merge and reports</v>
      </c>
      <c r="D39" s="13" t="str">
        <f aca="false">IF(INDEX('Tool Map'!$E:$E,MATCH($A39,'Tool Map'!$A:$A,0))="","-",INDEX('Tool Map'!$E:$E,MATCH($A39,'Tool Map'!$A:$A,0)))</f>
        <v>UVM-041</v>
      </c>
      <c r="E39" s="13" t="s">
        <v>387</v>
      </c>
    </row>
    <row r="40" customFormat="false" ht="15" hidden="false" customHeight="false" outlineLevel="0" collapsed="false">
      <c r="A40" s="13" t="s">
        <v>218</v>
      </c>
      <c r="B40" s="13" t="s">
        <v>17</v>
      </c>
      <c r="C40" s="13" t="str">
        <f aca="false">INDEX('Tool Map'!$D:$D,MATCH($A40,'Tool Map'!$A:$A,0))</f>
        <v>SVA assertions</v>
      </c>
      <c r="D40" s="13" t="str">
        <f aca="false">IF(INDEX('Tool Map'!$E:$E,MATCH($A40,'Tool Map'!$A:$A,0))="","-",INDEX('Tool Map'!$E:$E,MATCH($A40,'Tool Map'!$A:$A,0)))</f>
        <v>UVM-034</v>
      </c>
      <c r="E40" s="13" t="s">
        <v>388</v>
      </c>
    </row>
    <row r="41" customFormat="false" ht="15" hidden="false" customHeight="false" outlineLevel="0" collapsed="false">
      <c r="A41" s="13" t="s">
        <v>222</v>
      </c>
      <c r="B41" s="13" t="s">
        <v>17</v>
      </c>
      <c r="C41" s="13" t="str">
        <f aca="false">INDEX('Tool Map'!$D:$D,MATCH($A41,'Tool Map'!$A:$A,0))</f>
        <v>Optional formal checks (stretch)</v>
      </c>
      <c r="D41" s="13" t="str">
        <f aca="false">IF(INDEX('Tool Map'!$E:$E,MATCH($A41,'Tool Map'!$A:$A,0))="","-",INDEX('Tool Map'!$E:$E,MATCH($A41,'Tool Map'!$A:$A,0)))</f>
        <v>UVM-036</v>
      </c>
      <c r="E41" s="13" t="s">
        <v>389</v>
      </c>
    </row>
    <row r="42" customFormat="false" ht="15" hidden="false" customHeight="false" outlineLevel="0" collapsed="false">
      <c r="A42" s="13" t="s">
        <v>227</v>
      </c>
      <c r="B42" s="13" t="s">
        <v>17</v>
      </c>
      <c r="C42" s="13" t="str">
        <f aca="false">INDEX('Tool Map'!$D:$D,MATCH($A42,'Tool Map'!$A:$A,0))</f>
        <v>HIF stress, reset, fault and multi-lane tests</v>
      </c>
      <c r="D42" s="13" t="str">
        <f aca="false">IF(INDEX('Tool Map'!$E:$E,MATCH($A42,'Tool Map'!$A:$A,0))="","-",INDEX('Tool Map'!$E:$E,MATCH($A42,'Tool Map'!$A:$A,0)))</f>
        <v>UVM-025 to 028</v>
      </c>
      <c r="E42" s="13" t="s">
        <v>390</v>
      </c>
    </row>
    <row r="43" customFormat="false" ht="15" hidden="false" customHeight="false" outlineLevel="0" collapsed="false">
      <c r="A43" s="13" t="s">
        <v>231</v>
      </c>
      <c r="B43" s="13" t="s">
        <v>17</v>
      </c>
      <c r="C43" s="13" t="str">
        <f aca="false">INDEX('Tool Map'!$D:$D,MATCH($A43,'Tool Map'!$A:$A,0))</f>
        <v>Timing checker (stretch)</v>
      </c>
      <c r="D43" s="13" t="str">
        <f aca="false">IF(INDEX('Tool Map'!$E:$E,MATCH($A43,'Tool Map'!$A:$A,0))="","-",INDEX('Tool Map'!$E:$E,MATCH($A43,'Tool Map'!$A:$A,0)))</f>
        <v>UVM-020</v>
      </c>
      <c r="E43" s="13" t="s">
        <v>391</v>
      </c>
    </row>
    <row r="44" customFormat="false" ht="15" hidden="false" customHeight="false" outlineLevel="0" collapsed="false">
      <c r="A44" s="13" t="s">
        <v>235</v>
      </c>
      <c r="B44" s="13" t="s">
        <v>17</v>
      </c>
      <c r="C44" s="13" t="str">
        <f aca="false">INDEX('Tool Map'!$D:$D,MATCH($A44,'Tool Map'!$A:$A,0))</f>
        <v>JTAG/SWD reference hosts (stretch)</v>
      </c>
      <c r="D44" s="13" t="str">
        <f aca="false">IF(INDEX('Tool Map'!$E:$E,MATCH($A44,'Tool Map'!$A:$A,0))="","-",INDEX('Tool Map'!$E:$E,MATCH($A44,'Tool Map'!$A:$A,0)))</f>
        <v>PRO-004, PRO-005</v>
      </c>
      <c r="E44" s="13" t="s">
        <v>392</v>
      </c>
    </row>
    <row r="45" customFormat="false" ht="15" hidden="false" customHeight="false" outlineLevel="0" collapsed="false">
      <c r="A45" s="13" t="s">
        <v>240</v>
      </c>
      <c r="B45" s="13" t="s">
        <v>17</v>
      </c>
      <c r="C45" s="13" t="str">
        <f aca="false">INDEX('Tool Map'!$D:$D,MATCH($A45,'Tool Map'!$A:$A,0))</f>
        <v>Debug failing seeds</v>
      </c>
      <c r="D45" s="13" t="str">
        <f aca="false">IF(INDEX('Tool Map'!$E:$E,MATCH($A45,'Tool Map'!$A:$A,0))="","-",INDEX('Tool Map'!$E:$E,MATCH($A45,'Tool Map'!$A:$A,0)))</f>
        <v>-</v>
      </c>
      <c r="E45" s="13" t="s">
        <v>393</v>
      </c>
    </row>
    <row r="46" customFormat="false" ht="15" hidden="false" customHeight="false" outlineLevel="0" collapsed="false">
      <c r="A46" s="13" t="s">
        <v>243</v>
      </c>
      <c r="B46" s="13" t="s">
        <v>17</v>
      </c>
      <c r="C46" s="13" t="str">
        <f aca="false">INDEX('Tool Map'!$D:$D,MATCH($A46,'Tool Map'!$A:$A,0))</f>
        <v>Re-run synthesis for area (no place-and-route)</v>
      </c>
      <c r="D46" s="13" t="str">
        <f aca="false">IF(INDEX('Tool Map'!$E:$E,MATCH($A46,'Tool Map'!$A:$A,0))="","-",INDEX('Tool Map'!$E:$E,MATCH($A46,'Tool Map'!$A:$A,0)))</f>
        <v>PHY-004</v>
      </c>
      <c r="E46" s="13" t="s">
        <v>394</v>
      </c>
    </row>
    <row r="47" customFormat="false" ht="15" hidden="false" customHeight="false" outlineLevel="0" collapsed="false">
      <c r="A47" s="13" t="s">
        <v>245</v>
      </c>
      <c r="B47" s="13" t="s">
        <v>17</v>
      </c>
      <c r="C47" s="13" t="str">
        <f aca="false">INDEX('Tool Map'!$D:$D,MATCH($A47,'Tool Map'!$A:$A,0))</f>
        <v>MIN profile fallback proven (synthesis only)</v>
      </c>
      <c r="D47" s="13" t="str">
        <f aca="false">IF(INDEX('Tool Map'!$E:$E,MATCH($A47,'Tool Map'!$A:$A,0))="","-",INDEX('Tool Map'!$E:$E,MATCH($A47,'Tool Map'!$A:$A,0)))</f>
        <v>PHY-006</v>
      </c>
      <c r="E47" s="13" t="s">
        <v>395</v>
      </c>
    </row>
    <row r="48" customFormat="false" ht="15" hidden="false" customHeight="false" outlineLevel="0" collapsed="false">
      <c r="A48" s="13" t="s">
        <v>249</v>
      </c>
      <c r="B48" s="13" t="s">
        <v>19</v>
      </c>
      <c r="C48" s="13" t="str">
        <f aca="false">INDEX('Tool Map'!$D:$D,MATCH($A48,'Tool Map'!$A:$A,0))</f>
        <v>Coverage holes</v>
      </c>
      <c r="D48" s="13" t="str">
        <f aca="false">IF(INDEX('Tool Map'!$E:$E,MATCH($A48,'Tool Map'!$A:$A,0))="","-",INDEX('Tool Map'!$E:$E,MATCH($A48,'Tool Map'!$A:$A,0)))</f>
        <v>UVM-033</v>
      </c>
      <c r="E48" s="13" t="s">
        <v>396</v>
      </c>
    </row>
    <row r="49" customFormat="false" ht="15" hidden="false" customHeight="false" outlineLevel="0" collapsed="false">
      <c r="A49" s="13" t="s">
        <v>254</v>
      </c>
      <c r="B49" s="13" t="s">
        <v>19</v>
      </c>
      <c r="C49" s="13" t="str">
        <f aca="false">INDEX('Tool Map'!$D:$D,MATCH($A49,'Tool Map'!$A:$A,0))</f>
        <v>Synthesizable-subset review</v>
      </c>
      <c r="D49" s="13" t="str">
        <f aca="false">IF(INDEX('Tool Map'!$E:$E,MATCH($A49,'Tool Map'!$A:$A,0))="","-",INDEX('Tool Map'!$E:$E,MATCH($A49,'Tool Map'!$A:$A,0)))</f>
        <v>RTL-001, RTL-002</v>
      </c>
      <c r="E49" s="13" t="s">
        <v>397</v>
      </c>
    </row>
    <row r="50" customFormat="false" ht="15" hidden="false" customHeight="false" outlineLevel="0" collapsed="false">
      <c r="A50" s="13" t="s">
        <v>259</v>
      </c>
      <c r="B50" s="13" t="s">
        <v>19</v>
      </c>
      <c r="C50" s="13" t="str">
        <f aca="false">INDEX('Tool Map'!$D:$D,MATCH($A50,'Tool Map'!$A:$A,0))</f>
        <v>Front-end freeze and RTL release candidate</v>
      </c>
      <c r="D50" s="13" t="str">
        <f aca="false">IF(INDEX('Tool Map'!$E:$E,MATCH($A50,'Tool Map'!$A:$A,0))="","-",INDEX('Tool Map'!$E:$E,MATCH($A50,'Tool Map'!$A:$A,0)))</f>
        <v>CHG-030, CHG-031</v>
      </c>
      <c r="E50" s="13" t="s">
        <v>398</v>
      </c>
    </row>
    <row r="51" customFormat="false" ht="15" hidden="false" customHeight="false" outlineLevel="0" collapsed="false">
      <c r="A51" s="13" t="s">
        <v>264</v>
      </c>
      <c r="B51" s="13" t="s">
        <v>19</v>
      </c>
      <c r="C51" s="13" t="str">
        <f aca="false">INDEX('Tool Map'!$D:$D,MATCH($A51,'Tool Map'!$A:$A,0))</f>
        <v>Protocol rate table (target clock)</v>
      </c>
      <c r="D51" s="13" t="str">
        <f aca="false">IF(INDEX('Tool Map'!$E:$E,MATCH($A51,'Tool Map'!$A:$A,0))="","-",INDEX('Tool Map'!$E:$E,MATCH($A51,'Tool Map'!$A:$A,0)))</f>
        <v>TIM-006</v>
      </c>
      <c r="E51" s="13" t="s">
        <v>399</v>
      </c>
    </row>
    <row r="52" customFormat="false" ht="15" hidden="false" customHeight="false" outlineLevel="0" collapsed="false">
      <c r="A52" s="13" t="s">
        <v>268</v>
      </c>
      <c r="B52" s="13" t="s">
        <v>19</v>
      </c>
      <c r="C52" s="13" t="str">
        <f aca="false">INDEX('Tool Map'!$D:$D,MATCH($A52,'Tool Map'!$A:$A,0))</f>
        <v>Datasheet build (draft)</v>
      </c>
      <c r="D52" s="13" t="str">
        <f aca="false">IF(INDEX('Tool Map'!$E:$E,MATCH($A52,'Tool Map'!$A:$A,0))="","-",INDEX('Tool Map'!$E:$E,MATCH($A52,'Tool Map'!$A:$A,0)))</f>
        <v>OSS-002, DSU-003, DSU-022</v>
      </c>
      <c r="E52" s="13" t="s">
        <v>400</v>
      </c>
    </row>
    <row r="53" customFormat="false" ht="15" hidden="false" customHeight="false" outlineLevel="0" collapsed="false">
      <c r="A53" s="13" t="s">
        <v>273</v>
      </c>
      <c r="B53" s="13" t="s">
        <v>19</v>
      </c>
      <c r="C53" s="13" t="str">
        <f aca="false">INDEX('Tool Map'!$D:$D,MATCH($A53,'Tool Map'!$A:$A,0))</f>
        <v>Diagrams and timing figures</v>
      </c>
      <c r="D53" s="13" t="str">
        <f aca="false">IF(INDEX('Tool Map'!$E:$E,MATCH($A53,'Tool Map'!$A:$A,0))="","-",INDEX('Tool Map'!$E:$E,MATCH($A53,'Tool Map'!$A:$A,0)))</f>
        <v>-</v>
      </c>
      <c r="E53" s="13" t="s">
        <v>401</v>
      </c>
    </row>
    <row r="54" customFormat="false" ht="15" hidden="false" customHeight="false" outlineLevel="0" collapsed="false">
      <c r="A54" s="13" t="s">
        <v>277</v>
      </c>
      <c r="B54" s="13" t="s">
        <v>19</v>
      </c>
      <c r="C54" s="13" t="str">
        <f aca="false">INDEX('Tool Map'!$D:$D,MATCH($A54,'Tool Map'!$A:$A,0))</f>
        <v>Tutorial</v>
      </c>
      <c r="D54" s="13" t="str">
        <f aca="false">IF(INDEX('Tool Map'!$E:$E,MATCH($A54,'Tool Map'!$A:$A,0))="","-",INDEX('Tool Map'!$E:$E,MATCH($A54,'Tool Map'!$A:$A,0)))</f>
        <v>OSS-003</v>
      </c>
      <c r="E54" s="13" t="s">
        <v>402</v>
      </c>
    </row>
    <row r="55" customFormat="false" ht="15" hidden="false" customHeight="false" outlineLevel="0" collapsed="false">
      <c r="A55" s="13" t="s">
        <v>282</v>
      </c>
      <c r="B55" s="13" t="s">
        <v>19</v>
      </c>
      <c r="C55" s="13" t="str">
        <f aca="false">INDEX('Tool Map'!$D:$D,MATCH($A55,'Tool Map'!$A:$A,0))</f>
        <v>Verification plan sign-off (front-end)</v>
      </c>
      <c r="D55" s="13" t="str">
        <f aca="false">IF(INDEX('Tool Map'!$E:$E,MATCH($A55,'Tool Map'!$A:$A,0))="","-",INDEX('Tool Map'!$E:$E,MATCH($A55,'Tool Map'!$A:$A,0)))</f>
        <v>UVM-045</v>
      </c>
      <c r="E55" s="13" t="s">
        <v>403</v>
      </c>
    </row>
    <row r="56" customFormat="false" ht="15" hidden="false" customHeight="false" outlineLevel="0" collapsed="false">
      <c r="A56" s="13" t="s">
        <v>287</v>
      </c>
      <c r="B56" s="13" t="s">
        <v>21</v>
      </c>
      <c r="C56" s="13" t="str">
        <f aca="false">INDEX('Tool Map'!$D:$D,MATCH($A56,'Tool Map'!$A:$A,0))</f>
        <v>Run the full RTL-to-GDS flow with the real RTL</v>
      </c>
      <c r="D56" s="13" t="str">
        <f aca="false">IF(INDEX('Tool Map'!$E:$E,MATCH($A56,'Tool Map'!$A:$A,0))="","-",INDEX('Tool Map'!$E:$E,MATCH($A56,'Tool Map'!$A:$A,0)))</f>
        <v>CON-001</v>
      </c>
      <c r="E56" s="13" t="s">
        <v>404</v>
      </c>
    </row>
    <row r="57" customFormat="false" ht="15" hidden="false" customHeight="false" outlineLevel="0" collapsed="false">
      <c r="A57" s="13" t="s">
        <v>290</v>
      </c>
      <c r="B57" s="13" t="s">
        <v>21</v>
      </c>
      <c r="C57" s="13" t="str">
        <f aca="false">INDEX('Tool Map'!$D:$D,MATCH($A57,'Tool Map'!$A:$A,0))</f>
        <v>RTL fixes from place-and-route findings</v>
      </c>
      <c r="D57" s="13" t="str">
        <f aca="false">IF(INDEX('Tool Map'!$E:$E,MATCH($A57,'Tool Map'!$A:$A,0))="","-",INDEX('Tool Map'!$E:$E,MATCH($A57,'Tool Map'!$A:$A,0)))</f>
        <v>CHG-020, CHG-022</v>
      </c>
      <c r="E57" s="13" t="s">
        <v>405</v>
      </c>
    </row>
    <row r="58" customFormat="false" ht="15" hidden="false" customHeight="false" outlineLevel="0" collapsed="false">
      <c r="A58" s="13" t="s">
        <v>295</v>
      </c>
      <c r="B58" s="13" t="s">
        <v>21</v>
      </c>
      <c r="C58" s="13" t="str">
        <f aca="false">INDEX('Tool Map'!$D:$D,MATCH($A58,'Tool Map'!$A:$A,0))</f>
        <v>First place-and-route trial</v>
      </c>
      <c r="D58" s="13" t="str">
        <f aca="false">IF(INDEX('Tool Map'!$E:$E,MATCH($A58,'Tool Map'!$A:$A,0))="","-",INDEX('Tool Map'!$E:$E,MATCH($A58,'Tool Map'!$A:$A,0)))</f>
        <v>PHY-002</v>
      </c>
      <c r="E58" s="13" t="s">
        <v>406</v>
      </c>
    </row>
    <row r="59" customFormat="false" ht="15" hidden="false" customHeight="false" outlineLevel="0" collapsed="false">
      <c r="A59" s="13" t="s">
        <v>300</v>
      </c>
      <c r="B59" s="13" t="s">
        <v>21</v>
      </c>
      <c r="C59" s="13" t="str">
        <f aca="false">INDEX('Tool Map'!$D:$D,MATCH($A59,'Tool Map'!$A:$A,0))</f>
        <v>Timing and layout checks</v>
      </c>
      <c r="D59" s="13" t="str">
        <f aca="false">IF(INDEX('Tool Map'!$E:$E,MATCH($A59,'Tool Map'!$A:$A,0))="","-",INDEX('Tool Map'!$E:$E,MATCH($A59,'Tool Map'!$A:$A,0)))</f>
        <v>PHY-003</v>
      </c>
      <c r="E59" s="13" t="s">
        <v>407</v>
      </c>
    </row>
    <row r="60" customFormat="false" ht="15" hidden="false" customHeight="false" outlineLevel="0" collapsed="false">
      <c r="A60" s="13" t="s">
        <v>305</v>
      </c>
      <c r="B60" s="13" t="s">
        <v>21</v>
      </c>
      <c r="C60" s="13" t="str">
        <f aca="false">INDEX('Tool Map'!$D:$D,MATCH($A60,'Tool Map'!$A:$A,0))</f>
        <v>Gate-level smoke tests</v>
      </c>
      <c r="D60" s="13" t="str">
        <f aca="false">IF(INDEX('Tool Map'!$E:$E,MATCH($A60,'Tool Map'!$A:$A,0))="","-",INDEX('Tool Map'!$E:$E,MATCH($A60,'Tool Map'!$A:$A,0)))</f>
        <v>UVM-038</v>
      </c>
      <c r="E60" s="13" t="s">
        <v>408</v>
      </c>
    </row>
    <row r="61" customFormat="false" ht="15" hidden="false" customHeight="false" outlineLevel="0" collapsed="false">
      <c r="A61" s="13" t="s">
        <v>309</v>
      </c>
      <c r="B61" s="13" t="s">
        <v>21</v>
      </c>
      <c r="C61" s="13" t="str">
        <f aca="false">INDEX('Tool Map'!$D:$D,MATCH($A61,'Tool Map'!$A:$A,0))</f>
        <v>Timing sign-off</v>
      </c>
      <c r="D61" s="13" t="str">
        <f aca="false">IF(INDEX('Tool Map'!$E:$E,MATCH($A61,'Tool Map'!$A:$A,0))="","-",INDEX('Tool Map'!$E:$E,MATCH($A61,'Tool Map'!$A:$A,0)))</f>
        <v>PHY-003</v>
      </c>
      <c r="E61" s="13" t="s">
        <v>409</v>
      </c>
    </row>
    <row r="62" customFormat="false" ht="15" hidden="false" customHeight="false" outlineLevel="0" collapsed="false">
      <c r="A62" s="13" t="s">
        <v>313</v>
      </c>
      <c r="B62" s="13" t="s">
        <v>21</v>
      </c>
      <c r="C62" s="13" t="str">
        <f aca="false">INDEX('Tool Map'!$D:$D,MATCH($A62,'Tool Map'!$A:$A,0))</f>
        <v>Area check</v>
      </c>
      <c r="D62" s="13" t="str">
        <f aca="false">IF(INDEX('Tool Map'!$E:$E,MATCH($A62,'Tool Map'!$A:$A,0))="","-",INDEX('Tool Map'!$E:$E,MATCH($A62,'Tool Map'!$A:$A,0)))</f>
        <v>PHY-001</v>
      </c>
      <c r="E62" s="13" t="s">
        <v>410</v>
      </c>
    </row>
    <row r="63" customFormat="false" ht="15" hidden="false" customHeight="false" outlineLevel="0" collapsed="false">
      <c r="A63" s="13" t="s">
        <v>317</v>
      </c>
      <c r="B63" s="13" t="s">
        <v>21</v>
      </c>
      <c r="C63" s="13" t="str">
        <f aca="false">INDEX('Tool Map'!$D:$D,MATCH($A63,'Tool Map'!$A:$A,0))</f>
        <v>DRC</v>
      </c>
      <c r="D63" s="13" t="str">
        <f aca="false">IF(INDEX('Tool Map'!$E:$E,MATCH($A63,'Tool Map'!$A:$A,0))="","-",INDEX('Tool Map'!$E:$E,MATCH($A63,'Tool Map'!$A:$A,0)))</f>
        <v>PHY-002</v>
      </c>
      <c r="E63" s="13" t="s">
        <v>411</v>
      </c>
    </row>
    <row r="64" customFormat="false" ht="15" hidden="false" customHeight="false" outlineLevel="0" collapsed="false">
      <c r="A64" s="13" t="s">
        <v>321</v>
      </c>
      <c r="B64" s="13" t="s">
        <v>21</v>
      </c>
      <c r="C64" s="13" t="str">
        <f aca="false">INDEX('Tool Map'!$D:$D,MATCH($A64,'Tool Map'!$A:$A,0))</f>
        <v>LVS</v>
      </c>
      <c r="D64" s="13" t="str">
        <f aca="false">IF(INDEX('Tool Map'!$E:$E,MATCH($A64,'Tool Map'!$A:$A,0))="","-",INDEX('Tool Map'!$E:$E,MATCH($A64,'Tool Map'!$A:$A,0)))</f>
        <v>PHY-002</v>
      </c>
      <c r="E64" s="13" t="s">
        <v>412</v>
      </c>
    </row>
    <row r="65" customFormat="false" ht="15" hidden="false" customHeight="false" outlineLevel="0" collapsed="false">
      <c r="A65" s="13" t="s">
        <v>325</v>
      </c>
      <c r="B65" s="13" t="s">
        <v>21</v>
      </c>
      <c r="C65" s="13" t="str">
        <f aca="false">INDEX('Tool Map'!$D:$D,MATCH($A65,'Tool Map'!$A:$A,0))</f>
        <v>Final GDS</v>
      </c>
      <c r="D65" s="13" t="str">
        <f aca="false">IF(INDEX('Tool Map'!$E:$E,MATCH($A65,'Tool Map'!$A:$A,0))="","-",INDEX('Tool Map'!$E:$E,MATCH($A65,'Tool Map'!$A:$A,0)))</f>
        <v>PHY-002</v>
      </c>
      <c r="E65" s="13" t="s">
        <v>413</v>
      </c>
    </row>
    <row r="66" customFormat="false" ht="15" hidden="false" customHeight="false" outlineLevel="0" collapsed="false">
      <c r="A66" s="13" t="s">
        <v>329</v>
      </c>
      <c r="B66" s="13" t="s">
        <v>21</v>
      </c>
      <c r="C66" s="13" t="str">
        <f aca="false">INDEX('Tool Map'!$D:$D,MATCH($A66,'Tool Map'!$A:$A,0))</f>
        <v>Datasheet numbers update</v>
      </c>
      <c r="D66" s="13" t="str">
        <f aca="false">IF(INDEX('Tool Map'!$E:$E,MATCH($A66,'Tool Map'!$A:$A,0))="","-",INDEX('Tool Map'!$E:$E,MATCH($A66,'Tool Map'!$A:$A,0)))</f>
        <v>DSU-014, TIM-001, TIM-006</v>
      </c>
      <c r="E66" s="13" t="s">
        <v>414</v>
      </c>
    </row>
    <row r="67" customFormat="false" ht="15" hidden="false" customHeight="false" outlineLevel="0" collapsed="false">
      <c r="A67" s="13" t="s">
        <v>334</v>
      </c>
      <c r="B67" s="13" t="s">
        <v>21</v>
      </c>
      <c r="C67" s="13" t="str">
        <f aca="false">INDEX('Tool Map'!$D:$D,MATCH($A67,'Tool Map'!$A:$A,0))</f>
        <v>Power estimate (stretch)</v>
      </c>
      <c r="D67" s="13" t="str">
        <f aca="false">IF(INDEX('Tool Map'!$E:$E,MATCH($A67,'Tool Map'!$A:$A,0))="","-",INDEX('Tool Map'!$E:$E,MATCH($A67,'Tool Map'!$A:$A,0)))</f>
        <v>PHY-005</v>
      </c>
      <c r="E67" s="13" t="s">
        <v>415</v>
      </c>
    </row>
    <row r="68" customFormat="false" ht="15" hidden="false" customHeight="false" outlineLevel="0" collapsed="false">
      <c r="A68" s="13" t="s">
        <v>339</v>
      </c>
      <c r="B68" s="13" t="s">
        <v>21</v>
      </c>
      <c r="C68" s="13" t="str">
        <f aca="false">INDEX('Tool Map'!$D:$D,MATCH($A68,'Tool Map'!$A:$A,0))</f>
        <v>Final regression and release</v>
      </c>
      <c r="D68" s="13" t="str">
        <f aca="false">IF(INDEX('Tool Map'!$E:$E,MATCH($A68,'Tool Map'!$A:$A,0))="","-",INDEX('Tool Map'!$E:$E,MATCH($A68,'Tool Map'!$A:$A,0)))</f>
        <v>OSS-004</v>
      </c>
      <c r="E68" s="13" t="s">
        <v>416</v>
      </c>
    </row>
    <row r="69" customFormat="false" ht="15" hidden="false" customHeight="false" outlineLevel="0" collapsed="false">
      <c r="A69" s="13" t="s">
        <v>344</v>
      </c>
      <c r="B69" s="13" t="s">
        <v>21</v>
      </c>
      <c r="C69" s="13" t="str">
        <f aca="false">INDEX('Tool Map'!$D:$D,MATCH($A69,'Tool Map'!$A:$A,0))</f>
        <v>Submission package</v>
      </c>
      <c r="D69" s="13" t="str">
        <f aca="false">IF(INDEX('Tool Map'!$E:$E,MATCH($A69,'Tool Map'!$A:$A,0))="","-",INDEX('Tool Map'!$E:$E,MATCH($A69,'Tool Map'!$A:$A,0)))</f>
        <v>CON-006</v>
      </c>
      <c r="E69" s="13" t="s">
        <v>417</v>
      </c>
    </row>
  </sheetData>
  <autoFilter ref="A1:E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8"/>
    <col collapsed="false" customWidth="true" hidden="false" outlineLevel="0" max="8" min="3" style="0" width="6"/>
    <col collapsed="false" customWidth="true" hidden="false" outlineLevel="0" max="9" min="9" style="0" width="14"/>
    <col collapsed="false" customWidth="true" hidden="false" outlineLevel="0" max="10" min="10" style="0" width="22"/>
  </cols>
  <sheetData>
    <row r="1" customFormat="false" ht="30" hidden="false" customHeight="true" outlineLevel="0" collapsed="false">
      <c r="A1" s="3" t="s">
        <v>418</v>
      </c>
      <c r="B1" s="3" t="s">
        <v>419</v>
      </c>
      <c r="C1" s="3" t="s">
        <v>11</v>
      </c>
      <c r="D1" s="3" t="s">
        <v>13</v>
      </c>
      <c r="E1" s="3" t="s">
        <v>15</v>
      </c>
      <c r="F1" s="3" t="s">
        <v>17</v>
      </c>
      <c r="G1" s="3" t="s">
        <v>19</v>
      </c>
      <c r="H1" s="3" t="s">
        <v>21</v>
      </c>
      <c r="I1" s="3" t="s">
        <v>420</v>
      </c>
      <c r="J1" s="15" t="s">
        <v>421</v>
      </c>
    </row>
    <row r="2" customFormat="false" ht="15" hidden="false" customHeight="false" outlineLevel="0" collapsed="false">
      <c r="A2" s="4" t="s">
        <v>42</v>
      </c>
      <c r="B2" s="7" t="s">
        <v>422</v>
      </c>
      <c r="C2" s="16" t="n">
        <f aca="false">COUNTIFS('Tool Map'!$B:$B,"P0",'Tool Map'!$F:$F,"*"&amp;$J2&amp;"*")</f>
        <v>1</v>
      </c>
      <c r="D2" s="16" t="n">
        <f aca="false">COUNTIFS('Tool Map'!$B:$B,"P1",'Tool Map'!$F:$F,"*"&amp;$J2&amp;"*")</f>
        <v>0</v>
      </c>
      <c r="E2" s="16" t="n">
        <f aca="false">COUNTIFS('Tool Map'!$B:$B,"P2",'Tool Map'!$F:$F,"*"&amp;$J2&amp;"*")</f>
        <v>0</v>
      </c>
      <c r="F2" s="16" t="n">
        <f aca="false">COUNTIFS('Tool Map'!$B:$B,"P3",'Tool Map'!$F:$F,"*"&amp;$J2&amp;"*")</f>
        <v>0</v>
      </c>
      <c r="G2" s="16" t="n">
        <f aca="false">COUNTIFS('Tool Map'!$B:$B,"P4",'Tool Map'!$F:$F,"*"&amp;$J2&amp;"*")</f>
        <v>2</v>
      </c>
      <c r="H2" s="16" t="n">
        <f aca="false">COUNTIFS('Tool Map'!$B:$B,"P5",'Tool Map'!$F:$F,"*"&amp;$J2&amp;"*")</f>
        <v>3</v>
      </c>
      <c r="I2" s="17" t="n">
        <f aca="false">SUM(C2:H2)</f>
        <v>6</v>
      </c>
      <c r="J2" s="18" t="s">
        <v>42</v>
      </c>
    </row>
    <row r="3" customFormat="false" ht="15" hidden="false" customHeight="false" outlineLevel="0" collapsed="false">
      <c r="A3" s="4" t="s">
        <v>49</v>
      </c>
      <c r="B3" s="7" t="s">
        <v>423</v>
      </c>
      <c r="C3" s="16" t="n">
        <f aca="false">COUNTIFS('Tool Map'!$B:$B,"P0",'Tool Map'!$F:$F,"*"&amp;$J3&amp;"*")</f>
        <v>1</v>
      </c>
      <c r="D3" s="16" t="n">
        <f aca="false">COUNTIFS('Tool Map'!$B:$B,"P1",'Tool Map'!$F:$F,"*"&amp;$J3&amp;"*")</f>
        <v>1</v>
      </c>
      <c r="E3" s="16" t="n">
        <f aca="false">COUNTIFS('Tool Map'!$B:$B,"P2",'Tool Map'!$F:$F,"*"&amp;$J3&amp;"*")</f>
        <v>0</v>
      </c>
      <c r="F3" s="16" t="n">
        <f aca="false">COUNTIFS('Tool Map'!$B:$B,"P3",'Tool Map'!$F:$F,"*"&amp;$J3&amp;"*")</f>
        <v>0</v>
      </c>
      <c r="G3" s="16" t="n">
        <f aca="false">COUNTIFS('Tool Map'!$B:$B,"P4",'Tool Map'!$F:$F,"*"&amp;$J3&amp;"*")</f>
        <v>0</v>
      </c>
      <c r="H3" s="16" t="n">
        <f aca="false">COUNTIFS('Tool Map'!$B:$B,"P5",'Tool Map'!$F:$F,"*"&amp;$J3&amp;"*")</f>
        <v>1</v>
      </c>
      <c r="I3" s="17" t="n">
        <f aca="false">SUM(C3:H3)</f>
        <v>3</v>
      </c>
      <c r="J3" s="18" t="s">
        <v>424</v>
      </c>
    </row>
    <row r="4" customFormat="false" ht="15" hidden="false" customHeight="false" outlineLevel="0" collapsed="false">
      <c r="A4" s="4" t="s">
        <v>141</v>
      </c>
      <c r="B4" s="7" t="s">
        <v>425</v>
      </c>
      <c r="C4" s="16" t="n">
        <f aca="false">COUNTIFS('Tool Map'!$B:$B,"P0",'Tool Map'!$F:$F,"*"&amp;$J4&amp;"*")</f>
        <v>0</v>
      </c>
      <c r="D4" s="16" t="n">
        <f aca="false">COUNTIFS('Tool Map'!$B:$B,"P1",'Tool Map'!$F:$F,"*"&amp;$J4&amp;"*")</f>
        <v>2</v>
      </c>
      <c r="E4" s="16" t="n">
        <f aca="false">COUNTIFS('Tool Map'!$B:$B,"P2",'Tool Map'!$F:$F,"*"&amp;$J4&amp;"*")</f>
        <v>0</v>
      </c>
      <c r="F4" s="16" t="n">
        <f aca="false">COUNTIFS('Tool Map'!$B:$B,"P3",'Tool Map'!$F:$F,"*"&amp;$J4&amp;"*")</f>
        <v>0</v>
      </c>
      <c r="G4" s="16" t="n">
        <f aca="false">COUNTIFS('Tool Map'!$B:$B,"P4",'Tool Map'!$F:$F,"*"&amp;$J4&amp;"*")</f>
        <v>0</v>
      </c>
      <c r="H4" s="16" t="n">
        <f aca="false">COUNTIFS('Tool Map'!$B:$B,"P5",'Tool Map'!$F:$F,"*"&amp;$J4&amp;"*")</f>
        <v>2</v>
      </c>
      <c r="I4" s="17" t="n">
        <f aca="false">SUM(C4:H4)</f>
        <v>4</v>
      </c>
      <c r="J4" s="18" t="s">
        <v>141</v>
      </c>
    </row>
    <row r="5" customFormat="false" ht="15" hidden="false" customHeight="false" outlineLevel="0" collapsed="false">
      <c r="A5" s="4" t="s">
        <v>426</v>
      </c>
      <c r="B5" s="7" t="s">
        <v>425</v>
      </c>
      <c r="C5" s="16" t="n">
        <f aca="false">COUNTIFS('Tool Map'!$B:$B,"P0",'Tool Map'!$F:$F,"*"&amp;$J5&amp;"*")</f>
        <v>0</v>
      </c>
      <c r="D5" s="16" t="n">
        <f aca="false">COUNTIFS('Tool Map'!$B:$B,"P1",'Tool Map'!$F:$F,"*"&amp;$J5&amp;"*")</f>
        <v>2</v>
      </c>
      <c r="E5" s="16" t="n">
        <f aca="false">COUNTIFS('Tool Map'!$B:$B,"P2",'Tool Map'!$F:$F,"*"&amp;$J5&amp;"*")</f>
        <v>1</v>
      </c>
      <c r="F5" s="16" t="n">
        <f aca="false">COUNTIFS('Tool Map'!$B:$B,"P3",'Tool Map'!$F:$F,"*"&amp;$J5&amp;"*")</f>
        <v>2</v>
      </c>
      <c r="G5" s="16" t="n">
        <f aca="false">COUNTIFS('Tool Map'!$B:$B,"P4",'Tool Map'!$F:$F,"*"&amp;$J5&amp;"*")</f>
        <v>0</v>
      </c>
      <c r="H5" s="16" t="n">
        <f aca="false">COUNTIFS('Tool Map'!$B:$B,"P5",'Tool Map'!$F:$F,"*"&amp;$J5&amp;"*")</f>
        <v>6</v>
      </c>
      <c r="I5" s="17" t="n">
        <f aca="false">SUM(C5:H5)</f>
        <v>11</v>
      </c>
      <c r="J5" s="18" t="s">
        <v>426</v>
      </c>
    </row>
    <row r="6" customFormat="false" ht="15" hidden="false" customHeight="false" outlineLevel="0" collapsed="false">
      <c r="A6" s="4" t="s">
        <v>427</v>
      </c>
      <c r="B6" s="7" t="s">
        <v>428</v>
      </c>
      <c r="C6" s="16" t="n">
        <f aca="false">COUNTIFS('Tool Map'!$B:$B,"P0",'Tool Map'!$F:$F,"*"&amp;$J6&amp;"*")</f>
        <v>0</v>
      </c>
      <c r="D6" s="16" t="n">
        <f aca="false">COUNTIFS('Tool Map'!$B:$B,"P1",'Tool Map'!$F:$F,"*"&amp;$J6&amp;"*")</f>
        <v>2</v>
      </c>
      <c r="E6" s="16" t="n">
        <f aca="false">COUNTIFS('Tool Map'!$B:$B,"P2",'Tool Map'!$F:$F,"*"&amp;$J6&amp;"*")</f>
        <v>1</v>
      </c>
      <c r="F6" s="16" t="n">
        <f aca="false">COUNTIFS('Tool Map'!$B:$B,"P3",'Tool Map'!$F:$F,"*"&amp;$J6&amp;"*")</f>
        <v>3</v>
      </c>
      <c r="G6" s="16" t="n">
        <f aca="false">COUNTIFS('Tool Map'!$B:$B,"P4",'Tool Map'!$F:$F,"*"&amp;$J6&amp;"*")</f>
        <v>0</v>
      </c>
      <c r="H6" s="16" t="n">
        <f aca="false">COUNTIFS('Tool Map'!$B:$B,"P5",'Tool Map'!$F:$F,"*"&amp;$J6&amp;"*")</f>
        <v>3</v>
      </c>
      <c r="I6" s="17" t="n">
        <f aca="false">SUM(C6:H6)</f>
        <v>9</v>
      </c>
      <c r="J6" s="18" t="s">
        <v>427</v>
      </c>
    </row>
    <row r="7" customFormat="false" ht="15" hidden="false" customHeight="false" outlineLevel="0" collapsed="false">
      <c r="A7" s="4" t="s">
        <v>337</v>
      </c>
      <c r="B7" s="7" t="s">
        <v>425</v>
      </c>
      <c r="C7" s="16" t="n">
        <f aca="false">COUNTIFS('Tool Map'!$B:$B,"P0",'Tool Map'!$F:$F,"*"&amp;$J7&amp;"*")</f>
        <v>0</v>
      </c>
      <c r="D7" s="16" t="n">
        <f aca="false">COUNTIFS('Tool Map'!$B:$B,"P1",'Tool Map'!$F:$F,"*"&amp;$J7&amp;"*")</f>
        <v>0</v>
      </c>
      <c r="E7" s="16" t="n">
        <f aca="false">COUNTIFS('Tool Map'!$B:$B,"P2",'Tool Map'!$F:$F,"*"&amp;$J7&amp;"*")</f>
        <v>0</v>
      </c>
      <c r="F7" s="16" t="n">
        <f aca="false">COUNTIFS('Tool Map'!$B:$B,"P3",'Tool Map'!$F:$F,"*"&amp;$J7&amp;"*")</f>
        <v>0</v>
      </c>
      <c r="G7" s="16" t="n">
        <f aca="false">COUNTIFS('Tool Map'!$B:$B,"P4",'Tool Map'!$F:$F,"*"&amp;$J7&amp;"*")</f>
        <v>0</v>
      </c>
      <c r="H7" s="16" t="n">
        <f aca="false">COUNTIFS('Tool Map'!$B:$B,"P5",'Tool Map'!$F:$F,"*"&amp;$J7&amp;"*")</f>
        <v>3</v>
      </c>
      <c r="I7" s="17" t="n">
        <f aca="false">SUM(C7:H7)</f>
        <v>3</v>
      </c>
      <c r="J7" s="18" t="s">
        <v>337</v>
      </c>
    </row>
    <row r="8" customFormat="false" ht="15" hidden="false" customHeight="false" outlineLevel="0" collapsed="false">
      <c r="A8" s="4" t="s">
        <v>311</v>
      </c>
      <c r="B8" s="7" t="s">
        <v>429</v>
      </c>
      <c r="C8" s="16" t="n">
        <f aca="false">COUNTIFS('Tool Map'!$B:$B,"P0",'Tool Map'!$F:$F,"*"&amp;$J8&amp;"*")</f>
        <v>0</v>
      </c>
      <c r="D8" s="16" t="n">
        <f aca="false">COUNTIFS('Tool Map'!$B:$B,"P1",'Tool Map'!$F:$F,"*"&amp;$J8&amp;"*")</f>
        <v>0</v>
      </c>
      <c r="E8" s="16" t="n">
        <f aca="false">COUNTIFS('Tool Map'!$B:$B,"P2",'Tool Map'!$F:$F,"*"&amp;$J8&amp;"*")</f>
        <v>0</v>
      </c>
      <c r="F8" s="16" t="n">
        <f aca="false">COUNTIFS('Tool Map'!$B:$B,"P3",'Tool Map'!$F:$F,"*"&amp;$J8&amp;"*")</f>
        <v>0</v>
      </c>
      <c r="G8" s="16" t="n">
        <f aca="false">COUNTIFS('Tool Map'!$B:$B,"P4",'Tool Map'!$F:$F,"*"&amp;$J8&amp;"*")</f>
        <v>0</v>
      </c>
      <c r="H8" s="16" t="n">
        <f aca="false">COUNTIFS('Tool Map'!$B:$B,"P5",'Tool Map'!$F:$F,"*"&amp;$J8&amp;"*")</f>
        <v>2</v>
      </c>
      <c r="I8" s="17" t="n">
        <f aca="false">SUM(C8:H8)</f>
        <v>2</v>
      </c>
      <c r="J8" s="18" t="s">
        <v>311</v>
      </c>
    </row>
    <row r="9" customFormat="false" ht="15" hidden="false" customHeight="false" outlineLevel="0" collapsed="false">
      <c r="A9" s="4" t="s">
        <v>430</v>
      </c>
      <c r="B9" s="7" t="s">
        <v>431</v>
      </c>
      <c r="C9" s="16" t="n">
        <f aca="false">COUNTIFS('Tool Map'!$B:$B,"P0",'Tool Map'!$F:$F,"*"&amp;$J9&amp;"*")</f>
        <v>0</v>
      </c>
      <c r="D9" s="16" t="n">
        <f aca="false">COUNTIFS('Tool Map'!$B:$B,"P1",'Tool Map'!$F:$F,"*"&amp;$J9&amp;"*")</f>
        <v>0</v>
      </c>
      <c r="E9" s="16" t="n">
        <f aca="false">COUNTIFS('Tool Map'!$B:$B,"P2",'Tool Map'!$F:$F,"*"&amp;$J9&amp;"*")</f>
        <v>0</v>
      </c>
      <c r="F9" s="16" t="n">
        <f aca="false">COUNTIFS('Tool Map'!$B:$B,"P3",'Tool Map'!$F:$F,"*"&amp;$J9&amp;"*")</f>
        <v>0</v>
      </c>
      <c r="G9" s="16" t="n">
        <f aca="false">COUNTIFS('Tool Map'!$B:$B,"P4",'Tool Map'!$F:$F,"*"&amp;$J9&amp;"*")</f>
        <v>0</v>
      </c>
      <c r="H9" s="16" t="n">
        <f aca="false">COUNTIFS('Tool Map'!$B:$B,"P5",'Tool Map'!$F:$F,"*"&amp;$J9&amp;"*")</f>
        <v>3</v>
      </c>
      <c r="I9" s="17" t="n">
        <f aca="false">SUM(C9:H9)</f>
        <v>3</v>
      </c>
      <c r="J9" s="18" t="s">
        <v>430</v>
      </c>
    </row>
    <row r="10" customFormat="false" ht="15" hidden="false" customHeight="false" outlineLevel="0" collapsed="false">
      <c r="A10" s="4" t="s">
        <v>432</v>
      </c>
      <c r="B10" s="7" t="s">
        <v>433</v>
      </c>
      <c r="C10" s="16" t="n">
        <f aca="false">COUNTIFS('Tool Map'!$B:$B,"P0",'Tool Map'!$F:$F,"*"&amp;$J10&amp;"*")</f>
        <v>0</v>
      </c>
      <c r="D10" s="16" t="n">
        <f aca="false">COUNTIFS('Tool Map'!$B:$B,"P1",'Tool Map'!$F:$F,"*"&amp;$J10&amp;"*")</f>
        <v>0</v>
      </c>
      <c r="E10" s="16" t="n">
        <f aca="false">COUNTIFS('Tool Map'!$B:$B,"P2",'Tool Map'!$F:$F,"*"&amp;$J10&amp;"*")</f>
        <v>0</v>
      </c>
      <c r="F10" s="16" t="n">
        <f aca="false">COUNTIFS('Tool Map'!$B:$B,"P3",'Tool Map'!$F:$F,"*"&amp;$J10&amp;"*")</f>
        <v>0</v>
      </c>
      <c r="G10" s="16" t="n">
        <f aca="false">COUNTIFS('Tool Map'!$B:$B,"P4",'Tool Map'!$F:$F,"*"&amp;$J10&amp;"*")</f>
        <v>0</v>
      </c>
      <c r="H10" s="16" t="n">
        <f aca="false">COUNTIFS('Tool Map'!$B:$B,"P5",'Tool Map'!$F:$F,"*"&amp;$J10&amp;"*")</f>
        <v>1</v>
      </c>
      <c r="I10" s="17" t="n">
        <f aca="false">SUM(C10:H10)</f>
        <v>1</v>
      </c>
      <c r="J10" s="18" t="s">
        <v>432</v>
      </c>
    </row>
    <row r="11" customFormat="false" ht="15" hidden="false" customHeight="false" outlineLevel="0" collapsed="false">
      <c r="A11" s="4" t="s">
        <v>434</v>
      </c>
      <c r="B11" s="7" t="s">
        <v>322</v>
      </c>
      <c r="C11" s="16" t="n">
        <f aca="false">COUNTIFS('Tool Map'!$B:$B,"P0",'Tool Map'!$F:$F,"*"&amp;$J11&amp;"*")</f>
        <v>0</v>
      </c>
      <c r="D11" s="16" t="n">
        <f aca="false">COUNTIFS('Tool Map'!$B:$B,"P1",'Tool Map'!$F:$F,"*"&amp;$J11&amp;"*")</f>
        <v>0</v>
      </c>
      <c r="E11" s="16" t="n">
        <f aca="false">COUNTIFS('Tool Map'!$B:$B,"P2",'Tool Map'!$F:$F,"*"&amp;$J11&amp;"*")</f>
        <v>0</v>
      </c>
      <c r="F11" s="16" t="n">
        <f aca="false">COUNTIFS('Tool Map'!$B:$B,"P3",'Tool Map'!$F:$F,"*"&amp;$J11&amp;"*")</f>
        <v>0</v>
      </c>
      <c r="G11" s="16" t="n">
        <f aca="false">COUNTIFS('Tool Map'!$B:$B,"P4",'Tool Map'!$F:$F,"*"&amp;$J11&amp;"*")</f>
        <v>0</v>
      </c>
      <c r="H11" s="16" t="n">
        <f aca="false">COUNTIFS('Tool Map'!$B:$B,"P5",'Tool Map'!$F:$F,"*"&amp;$J11&amp;"*")</f>
        <v>1</v>
      </c>
      <c r="I11" s="17" t="n">
        <f aca="false">SUM(C11:H11)</f>
        <v>1</v>
      </c>
      <c r="J11" s="18" t="s">
        <v>434</v>
      </c>
    </row>
    <row r="12" customFormat="false" ht="15" hidden="false" customHeight="false" outlineLevel="0" collapsed="false">
      <c r="A12" s="4" t="s">
        <v>435</v>
      </c>
      <c r="B12" s="7" t="s">
        <v>436</v>
      </c>
      <c r="C12" s="16" t="n">
        <f aca="false">COUNTIFS('Tool Map'!$B:$B,"P0",'Tool Map'!$F:$F,"*"&amp;$J12&amp;"*")</f>
        <v>0</v>
      </c>
      <c r="D12" s="16" t="n">
        <f aca="false">COUNTIFS('Tool Map'!$B:$B,"P1",'Tool Map'!$F:$F,"*"&amp;$J12&amp;"*")</f>
        <v>1</v>
      </c>
      <c r="E12" s="16" t="n">
        <f aca="false">COUNTIFS('Tool Map'!$B:$B,"P2",'Tool Map'!$F:$F,"*"&amp;$J12&amp;"*")</f>
        <v>0</v>
      </c>
      <c r="F12" s="16" t="n">
        <f aca="false">COUNTIFS('Tool Map'!$B:$B,"P3",'Tool Map'!$F:$F,"*"&amp;$J12&amp;"*")</f>
        <v>0</v>
      </c>
      <c r="G12" s="16" t="n">
        <f aca="false">COUNTIFS('Tool Map'!$B:$B,"P4",'Tool Map'!$F:$F,"*"&amp;$J12&amp;"*")</f>
        <v>0</v>
      </c>
      <c r="H12" s="16" t="n">
        <f aca="false">COUNTIFS('Tool Map'!$B:$B,"P5",'Tool Map'!$F:$F,"*"&amp;$J12&amp;"*")</f>
        <v>1</v>
      </c>
      <c r="I12" s="17" t="n">
        <f aca="false">SUM(C12:H12)</f>
        <v>2</v>
      </c>
      <c r="J12" s="18" t="s">
        <v>435</v>
      </c>
    </row>
    <row r="13" customFormat="false" ht="15" hidden="false" customHeight="false" outlineLevel="0" collapsed="false">
      <c r="A13" s="4" t="s">
        <v>211</v>
      </c>
      <c r="B13" s="7" t="s">
        <v>437</v>
      </c>
      <c r="C13" s="16" t="n">
        <f aca="false">COUNTIFS('Tool Map'!$B:$B,"P0",'Tool Map'!$F:$F,"*"&amp;$J13&amp;"*")</f>
        <v>2</v>
      </c>
      <c r="D13" s="16" t="n">
        <f aca="false">COUNTIFS('Tool Map'!$B:$B,"P1",'Tool Map'!$F:$F,"*"&amp;$J13&amp;"*")</f>
        <v>6</v>
      </c>
      <c r="E13" s="16" t="n">
        <f aca="false">COUNTIFS('Tool Map'!$B:$B,"P2",'Tool Map'!$F:$F,"*"&amp;$J13&amp;"*")</f>
        <v>6</v>
      </c>
      <c r="F13" s="16" t="n">
        <f aca="false">COUNTIFS('Tool Map'!$B:$B,"P3",'Tool Map'!$F:$F,"*"&amp;$J13&amp;"*")</f>
        <v>7</v>
      </c>
      <c r="G13" s="16" t="n">
        <f aca="false">COUNTIFS('Tool Map'!$B:$B,"P4",'Tool Map'!$F:$F,"*"&amp;$J13&amp;"*")</f>
        <v>2</v>
      </c>
      <c r="H13" s="16" t="n">
        <f aca="false">COUNTIFS('Tool Map'!$B:$B,"P5",'Tool Map'!$F:$F,"*"&amp;$J13&amp;"*")</f>
        <v>2</v>
      </c>
      <c r="I13" s="17" t="n">
        <f aca="false">SUM(C13:H13)</f>
        <v>25</v>
      </c>
      <c r="J13" s="18" t="s">
        <v>211</v>
      </c>
    </row>
    <row r="14" customFormat="false" ht="15" hidden="false" customHeight="false" outlineLevel="0" collapsed="false">
      <c r="A14" s="4" t="s">
        <v>438</v>
      </c>
      <c r="B14" s="7" t="s">
        <v>439</v>
      </c>
      <c r="C14" s="16" t="n">
        <f aca="false">COUNTIFS('Tool Map'!$B:$B,"P0",'Tool Map'!$F:$F,"*"&amp;$J14&amp;"*")</f>
        <v>0</v>
      </c>
      <c r="D14" s="16" t="n">
        <f aca="false">COUNTIFS('Tool Map'!$B:$B,"P1",'Tool Map'!$F:$F,"*"&amp;$J14&amp;"*")</f>
        <v>0</v>
      </c>
      <c r="E14" s="16" t="n">
        <f aca="false">COUNTIFS('Tool Map'!$B:$B,"P2",'Tool Map'!$F:$F,"*"&amp;$J14&amp;"*")</f>
        <v>0</v>
      </c>
      <c r="F14" s="16" t="n">
        <f aca="false">COUNTIFS('Tool Map'!$B:$B,"P3",'Tool Map'!$F:$F,"*"&amp;$J14&amp;"*")</f>
        <v>1</v>
      </c>
      <c r="G14" s="16" t="n">
        <f aca="false">COUNTIFS('Tool Map'!$B:$B,"P4",'Tool Map'!$F:$F,"*"&amp;$J14&amp;"*")</f>
        <v>1</v>
      </c>
      <c r="H14" s="16" t="n">
        <f aca="false">COUNTIFS('Tool Map'!$B:$B,"P5",'Tool Map'!$F:$F,"*"&amp;$J14&amp;"*")</f>
        <v>0</v>
      </c>
      <c r="I14" s="17" t="n">
        <f aca="false">SUM(C14:H14)</f>
        <v>2</v>
      </c>
      <c r="J14" s="18" t="s">
        <v>438</v>
      </c>
    </row>
    <row r="15" customFormat="false" ht="15" hidden="false" customHeight="false" outlineLevel="0" collapsed="false">
      <c r="A15" s="4" t="s">
        <v>440</v>
      </c>
      <c r="B15" s="7" t="s">
        <v>441</v>
      </c>
      <c r="C15" s="16" t="n">
        <f aca="false">COUNTIFS('Tool Map'!$B:$B,"P0",'Tool Map'!$F:$F,"*"&amp;$J15&amp;"*")</f>
        <v>1</v>
      </c>
      <c r="D15" s="16" t="n">
        <f aca="false">COUNTIFS('Tool Map'!$B:$B,"P1",'Tool Map'!$F:$F,"*"&amp;$J15&amp;"*")</f>
        <v>3</v>
      </c>
      <c r="E15" s="16" t="n">
        <f aca="false">COUNTIFS('Tool Map'!$B:$B,"P2",'Tool Map'!$F:$F,"*"&amp;$J15&amp;"*")</f>
        <v>3</v>
      </c>
      <c r="F15" s="16" t="n">
        <f aca="false">COUNTIFS('Tool Map'!$B:$B,"P3",'Tool Map'!$F:$F,"*"&amp;$J15&amp;"*")</f>
        <v>2</v>
      </c>
      <c r="G15" s="16" t="n">
        <f aca="false">COUNTIFS('Tool Map'!$B:$B,"P4",'Tool Map'!$F:$F,"*"&amp;$J15&amp;"*")</f>
        <v>0</v>
      </c>
      <c r="H15" s="16" t="n">
        <f aca="false">COUNTIFS('Tool Map'!$B:$B,"P5",'Tool Map'!$F:$F,"*"&amp;$J15&amp;"*")</f>
        <v>0</v>
      </c>
      <c r="I15" s="17" t="n">
        <f aca="false">SUM(C15:H15)</f>
        <v>9</v>
      </c>
      <c r="J15" s="18" t="s">
        <v>440</v>
      </c>
    </row>
    <row r="16" customFormat="false" ht="15" hidden="false" customHeight="false" outlineLevel="0" collapsed="false">
      <c r="A16" s="4" t="s">
        <v>442</v>
      </c>
      <c r="B16" s="7" t="s">
        <v>443</v>
      </c>
      <c r="C16" s="16" t="n">
        <f aca="false">COUNTIFS('Tool Map'!$B:$B,"P0",'Tool Map'!$F:$F,"*"&amp;$J16&amp;"*")</f>
        <v>1</v>
      </c>
      <c r="D16" s="16" t="n">
        <f aca="false">COUNTIFS('Tool Map'!$B:$B,"P1",'Tool Map'!$F:$F,"*"&amp;$J16&amp;"*")</f>
        <v>0</v>
      </c>
      <c r="E16" s="16" t="n">
        <f aca="false">COUNTIFS('Tool Map'!$B:$B,"P2",'Tool Map'!$F:$F,"*"&amp;$J16&amp;"*")</f>
        <v>0</v>
      </c>
      <c r="F16" s="16" t="n">
        <f aca="false">COUNTIFS('Tool Map'!$B:$B,"P3",'Tool Map'!$F:$F,"*"&amp;$J16&amp;"*")</f>
        <v>1</v>
      </c>
      <c r="G16" s="16" t="n">
        <f aca="false">COUNTIFS('Tool Map'!$B:$B,"P4",'Tool Map'!$F:$F,"*"&amp;$J16&amp;"*")</f>
        <v>0</v>
      </c>
      <c r="H16" s="16" t="n">
        <f aca="false">COUNTIFS('Tool Map'!$B:$B,"P5",'Tool Map'!$F:$F,"*"&amp;$J16&amp;"*")</f>
        <v>0</v>
      </c>
      <c r="I16" s="17" t="n">
        <f aca="false">SUM(C16:H16)</f>
        <v>2</v>
      </c>
      <c r="J16" s="18" t="s">
        <v>442</v>
      </c>
    </row>
    <row r="17" customFormat="false" ht="15" hidden="false" customHeight="false" outlineLevel="0" collapsed="false">
      <c r="A17" s="4" t="s">
        <v>444</v>
      </c>
      <c r="B17" s="7" t="s">
        <v>445</v>
      </c>
      <c r="C17" s="16" t="n">
        <f aca="false">COUNTIFS('Tool Map'!$B:$B,"P0",'Tool Map'!$F:$F,"*"&amp;$J17&amp;"*")</f>
        <v>0</v>
      </c>
      <c r="D17" s="16" t="n">
        <f aca="false">COUNTIFS('Tool Map'!$B:$B,"P1",'Tool Map'!$F:$F,"*"&amp;$J17&amp;"*")</f>
        <v>0</v>
      </c>
      <c r="E17" s="16" t="n">
        <f aca="false">COUNTIFS('Tool Map'!$B:$B,"P2",'Tool Map'!$F:$F,"*"&amp;$J17&amp;"*")</f>
        <v>0</v>
      </c>
      <c r="F17" s="16" t="n">
        <f aca="false">COUNTIFS('Tool Map'!$B:$B,"P3",'Tool Map'!$F:$F,"*"&amp;$J17&amp;"*")</f>
        <v>1</v>
      </c>
      <c r="G17" s="16" t="n">
        <f aca="false">COUNTIFS('Tool Map'!$B:$B,"P4",'Tool Map'!$F:$F,"*"&amp;$J17&amp;"*")</f>
        <v>0</v>
      </c>
      <c r="H17" s="16" t="n">
        <f aca="false">COUNTIFS('Tool Map'!$B:$B,"P5",'Tool Map'!$F:$F,"*"&amp;$J17&amp;"*")</f>
        <v>0</v>
      </c>
      <c r="I17" s="17" t="n">
        <f aca="false">SUM(C17:H17)</f>
        <v>1</v>
      </c>
      <c r="J17" s="18" t="s">
        <v>444</v>
      </c>
    </row>
    <row r="18" customFormat="false" ht="15" hidden="false" customHeight="false" outlineLevel="0" collapsed="false">
      <c r="A18" s="4" t="s">
        <v>446</v>
      </c>
      <c r="B18" s="7" t="s">
        <v>447</v>
      </c>
      <c r="C18" s="16" t="n">
        <f aca="false">COUNTIFS('Tool Map'!$B:$B,"P0",'Tool Map'!$F:$F,"*"&amp;$J18&amp;"*")</f>
        <v>1</v>
      </c>
      <c r="D18" s="16" t="n">
        <f aca="false">COUNTIFS('Tool Map'!$B:$B,"P1",'Tool Map'!$F:$F,"*"&amp;$J18&amp;"*")</f>
        <v>2</v>
      </c>
      <c r="E18" s="16" t="n">
        <f aca="false">COUNTIFS('Tool Map'!$B:$B,"P2",'Tool Map'!$F:$F,"*"&amp;$J18&amp;"*")</f>
        <v>0</v>
      </c>
      <c r="F18" s="16" t="n">
        <f aca="false">COUNTIFS('Tool Map'!$B:$B,"P3",'Tool Map'!$F:$F,"*"&amp;$J18&amp;"*")</f>
        <v>1</v>
      </c>
      <c r="G18" s="16" t="n">
        <f aca="false">COUNTIFS('Tool Map'!$B:$B,"P4",'Tool Map'!$F:$F,"*"&amp;$J18&amp;"*")</f>
        <v>0</v>
      </c>
      <c r="H18" s="16" t="n">
        <f aca="false">COUNTIFS('Tool Map'!$B:$B,"P5",'Tool Map'!$F:$F,"*"&amp;$J18&amp;"*")</f>
        <v>0</v>
      </c>
      <c r="I18" s="17" t="n">
        <f aca="false">SUM(C18:H18)</f>
        <v>4</v>
      </c>
      <c r="J18" s="18" t="s">
        <v>446</v>
      </c>
    </row>
    <row r="19" customFormat="false" ht="15" hidden="false" customHeight="false" outlineLevel="0" collapsed="false">
      <c r="A19" s="4" t="s">
        <v>448</v>
      </c>
      <c r="B19" s="7" t="s">
        <v>447</v>
      </c>
      <c r="C19" s="16" t="n">
        <f aca="false">COUNTIFS('Tool Map'!$B:$B,"P0",'Tool Map'!$F:$F,"*"&amp;$J19&amp;"*")</f>
        <v>0</v>
      </c>
      <c r="D19" s="16" t="n">
        <f aca="false">COUNTIFS('Tool Map'!$B:$B,"P1",'Tool Map'!$F:$F,"*"&amp;$J19&amp;"*")</f>
        <v>1</v>
      </c>
      <c r="E19" s="16" t="n">
        <f aca="false">COUNTIFS('Tool Map'!$B:$B,"P2",'Tool Map'!$F:$F,"*"&amp;$J19&amp;"*")</f>
        <v>0</v>
      </c>
      <c r="F19" s="16" t="n">
        <f aca="false">COUNTIFS('Tool Map'!$B:$B,"P3",'Tool Map'!$F:$F,"*"&amp;$J19&amp;"*")</f>
        <v>0</v>
      </c>
      <c r="G19" s="16" t="n">
        <f aca="false">COUNTIFS('Tool Map'!$B:$B,"P4",'Tool Map'!$F:$F,"*"&amp;$J19&amp;"*")</f>
        <v>0</v>
      </c>
      <c r="H19" s="16" t="n">
        <f aca="false">COUNTIFS('Tool Map'!$B:$B,"P5",'Tool Map'!$F:$F,"*"&amp;$J19&amp;"*")</f>
        <v>0</v>
      </c>
      <c r="I19" s="17" t="n">
        <f aca="false">SUM(C19:H19)</f>
        <v>1</v>
      </c>
      <c r="J19" s="18" t="s">
        <v>448</v>
      </c>
    </row>
    <row r="20" customFormat="false" ht="15" hidden="false" customHeight="false" outlineLevel="0" collapsed="false">
      <c r="A20" s="4" t="s">
        <v>449</v>
      </c>
      <c r="B20" s="7" t="s">
        <v>450</v>
      </c>
      <c r="C20" s="16" t="n">
        <f aca="false">COUNTIFS('Tool Map'!$B:$B,"P0",'Tool Map'!$F:$F,"*"&amp;$J20&amp;"*")</f>
        <v>0</v>
      </c>
      <c r="D20" s="16" t="n">
        <f aca="false">COUNTIFS('Tool Map'!$B:$B,"P1",'Tool Map'!$F:$F,"*"&amp;$J20&amp;"*")</f>
        <v>1</v>
      </c>
      <c r="E20" s="16" t="n">
        <f aca="false">COUNTIFS('Tool Map'!$B:$B,"P2",'Tool Map'!$F:$F,"*"&amp;$J20&amp;"*")</f>
        <v>0</v>
      </c>
      <c r="F20" s="16" t="n">
        <f aca="false">COUNTIFS('Tool Map'!$B:$B,"P3",'Tool Map'!$F:$F,"*"&amp;$J20&amp;"*")</f>
        <v>0</v>
      </c>
      <c r="G20" s="16" t="n">
        <f aca="false">COUNTIFS('Tool Map'!$B:$B,"P4",'Tool Map'!$F:$F,"*"&amp;$J20&amp;"*")</f>
        <v>1</v>
      </c>
      <c r="H20" s="16" t="n">
        <f aca="false">COUNTIFS('Tool Map'!$B:$B,"P5",'Tool Map'!$F:$F,"*"&amp;$J20&amp;"*")</f>
        <v>1</v>
      </c>
      <c r="I20" s="17" t="n">
        <f aca="false">SUM(C20:H20)</f>
        <v>3</v>
      </c>
      <c r="J20" s="18" t="s">
        <v>449</v>
      </c>
    </row>
    <row r="21" customFormat="false" ht="15" hidden="false" customHeight="false" outlineLevel="0" collapsed="false">
      <c r="A21" s="4" t="s">
        <v>179</v>
      </c>
      <c r="B21" s="7" t="s">
        <v>451</v>
      </c>
      <c r="C21" s="16" t="n">
        <f aca="false">COUNTIFS('Tool Map'!$B:$B,"P0",'Tool Map'!$F:$F,"*"&amp;$J21&amp;"*")</f>
        <v>3</v>
      </c>
      <c r="D21" s="16" t="n">
        <f aca="false">COUNTIFS('Tool Map'!$B:$B,"P1",'Tool Map'!$F:$F,"*"&amp;$J21&amp;"*")</f>
        <v>4</v>
      </c>
      <c r="E21" s="16" t="n">
        <f aca="false">COUNTIFS('Tool Map'!$B:$B,"P2",'Tool Map'!$F:$F,"*"&amp;$J21&amp;"*")</f>
        <v>3</v>
      </c>
      <c r="F21" s="16" t="n">
        <f aca="false">COUNTIFS('Tool Map'!$B:$B,"P3",'Tool Map'!$F:$F,"*"&amp;$J21&amp;"*")</f>
        <v>2</v>
      </c>
      <c r="G21" s="16" t="n">
        <f aca="false">COUNTIFS('Tool Map'!$B:$B,"P4",'Tool Map'!$F:$F,"*"&amp;$J21&amp;"*")</f>
        <v>5</v>
      </c>
      <c r="H21" s="16" t="n">
        <f aca="false">COUNTIFS('Tool Map'!$B:$B,"P5",'Tool Map'!$F:$F,"*"&amp;$J21&amp;"*")</f>
        <v>1</v>
      </c>
      <c r="I21" s="17" t="n">
        <f aca="false">SUM(C21:H21)</f>
        <v>18</v>
      </c>
      <c r="J21" s="18" t="s">
        <v>179</v>
      </c>
    </row>
    <row r="22" customFormat="false" ht="15" hidden="false" customHeight="false" outlineLevel="0" collapsed="false">
      <c r="A22" s="4" t="s">
        <v>452</v>
      </c>
      <c r="B22" s="7" t="s">
        <v>451</v>
      </c>
      <c r="C22" s="16" t="n">
        <f aca="false">COUNTIFS('Tool Map'!$B:$B,"P0",'Tool Map'!$F:$F,"*"&amp;$J22&amp;"*")</f>
        <v>2</v>
      </c>
      <c r="D22" s="16" t="n">
        <f aca="false">COUNTIFS('Tool Map'!$B:$B,"P1",'Tool Map'!$F:$F,"*"&amp;$J22&amp;"*")</f>
        <v>0</v>
      </c>
      <c r="E22" s="16" t="n">
        <f aca="false">COUNTIFS('Tool Map'!$B:$B,"P2",'Tool Map'!$F:$F,"*"&amp;$J22&amp;"*")</f>
        <v>0</v>
      </c>
      <c r="F22" s="16" t="n">
        <f aca="false">COUNTIFS('Tool Map'!$B:$B,"P3",'Tool Map'!$F:$F,"*"&amp;$J22&amp;"*")</f>
        <v>0</v>
      </c>
      <c r="G22" s="16" t="n">
        <f aca="false">COUNTIFS('Tool Map'!$B:$B,"P4",'Tool Map'!$F:$F,"*"&amp;$J22&amp;"*")</f>
        <v>0</v>
      </c>
      <c r="H22" s="16" t="n">
        <f aca="false">COUNTIFS('Tool Map'!$B:$B,"P5",'Tool Map'!$F:$F,"*"&amp;$J22&amp;"*")</f>
        <v>0</v>
      </c>
      <c r="I22" s="17" t="n">
        <f aca="false">SUM(C22:H22)</f>
        <v>2</v>
      </c>
      <c r="J22" s="18" t="s">
        <v>452</v>
      </c>
    </row>
    <row r="23" customFormat="false" ht="15" hidden="false" customHeight="false" outlineLevel="0" collapsed="false">
      <c r="A23" s="4" t="s">
        <v>453</v>
      </c>
      <c r="B23" s="7" t="s">
        <v>454</v>
      </c>
      <c r="C23" s="16" t="n">
        <f aca="false">COUNTIFS('Tool Map'!$B:$B,"P0",'Tool Map'!$F:$F,"*"&amp;$J23&amp;"*")</f>
        <v>1</v>
      </c>
      <c r="D23" s="16" t="n">
        <f aca="false">COUNTIFS('Tool Map'!$B:$B,"P1",'Tool Map'!$F:$F,"*"&amp;$J23&amp;"*")</f>
        <v>0</v>
      </c>
      <c r="E23" s="16" t="n">
        <f aca="false">COUNTIFS('Tool Map'!$B:$B,"P2",'Tool Map'!$F:$F,"*"&amp;$J23&amp;"*")</f>
        <v>1</v>
      </c>
      <c r="F23" s="16" t="n">
        <f aca="false">COUNTIFS('Tool Map'!$B:$B,"P3",'Tool Map'!$F:$F,"*"&amp;$J23&amp;"*")</f>
        <v>0</v>
      </c>
      <c r="G23" s="16" t="n">
        <f aca="false">COUNTIFS('Tool Map'!$B:$B,"P4",'Tool Map'!$F:$F,"*"&amp;$J23&amp;"*")</f>
        <v>2</v>
      </c>
      <c r="H23" s="16" t="n">
        <f aca="false">COUNTIFS('Tool Map'!$B:$B,"P5",'Tool Map'!$F:$F,"*"&amp;$J23&amp;"*")</f>
        <v>1</v>
      </c>
      <c r="I23" s="17" t="n">
        <f aca="false">SUM(C23:H23)</f>
        <v>5</v>
      </c>
      <c r="J23" s="18" t="s">
        <v>453</v>
      </c>
    </row>
    <row r="24" customFormat="false" ht="15" hidden="false" customHeight="false" outlineLevel="0" collapsed="false">
      <c r="A24" s="4" t="s">
        <v>455</v>
      </c>
      <c r="B24" s="7" t="s">
        <v>456</v>
      </c>
      <c r="C24" s="16" t="n">
        <f aca="false">COUNTIFS('Tool Map'!$B:$B,"P0",'Tool Map'!$F:$F,"*"&amp;$J24&amp;"*")</f>
        <v>0</v>
      </c>
      <c r="D24" s="16" t="n">
        <f aca="false">COUNTIFS('Tool Map'!$B:$B,"P1",'Tool Map'!$F:$F,"*"&amp;$J24&amp;"*")</f>
        <v>1</v>
      </c>
      <c r="E24" s="16" t="n">
        <f aca="false">COUNTIFS('Tool Map'!$B:$B,"P2",'Tool Map'!$F:$F,"*"&amp;$J24&amp;"*")</f>
        <v>1</v>
      </c>
      <c r="F24" s="16" t="n">
        <f aca="false">COUNTIFS('Tool Map'!$B:$B,"P3",'Tool Map'!$F:$F,"*"&amp;$J24&amp;"*")</f>
        <v>0</v>
      </c>
      <c r="G24" s="16" t="n">
        <f aca="false">COUNTIFS('Tool Map'!$B:$B,"P4",'Tool Map'!$F:$F,"*"&amp;$J24&amp;"*")</f>
        <v>0</v>
      </c>
      <c r="H24" s="16" t="n">
        <f aca="false">COUNTIFS('Tool Map'!$B:$B,"P5",'Tool Map'!$F:$F,"*"&amp;$J24&amp;"*")</f>
        <v>0</v>
      </c>
      <c r="I24" s="17" t="n">
        <f aca="false">SUM(C24:H24)</f>
        <v>2</v>
      </c>
      <c r="J24" s="18" t="s">
        <v>455</v>
      </c>
    </row>
    <row r="25" customFormat="false" ht="15" hidden="false" customHeight="false" outlineLevel="0" collapsed="false">
      <c r="A25" s="4" t="s">
        <v>457</v>
      </c>
      <c r="B25" s="7" t="s">
        <v>458</v>
      </c>
      <c r="C25" s="16" t="n">
        <f aca="false">COUNTIFS('Tool Map'!$B:$B,"P0",'Tool Map'!$F:$F,"*"&amp;$J25&amp;"*")</f>
        <v>2</v>
      </c>
      <c r="D25" s="16" t="n">
        <f aca="false">COUNTIFS('Tool Map'!$B:$B,"P1",'Tool Map'!$F:$F,"*"&amp;$J25&amp;"*")</f>
        <v>1</v>
      </c>
      <c r="E25" s="16" t="n">
        <f aca="false">COUNTIFS('Tool Map'!$B:$B,"P2",'Tool Map'!$F:$F,"*"&amp;$J25&amp;"*")</f>
        <v>3</v>
      </c>
      <c r="F25" s="16" t="n">
        <f aca="false">COUNTIFS('Tool Map'!$B:$B,"P3",'Tool Map'!$F:$F,"*"&amp;$J25&amp;"*")</f>
        <v>0</v>
      </c>
      <c r="G25" s="16" t="n">
        <f aca="false">COUNTIFS('Tool Map'!$B:$B,"P4",'Tool Map'!$F:$F,"*"&amp;$J25&amp;"*")</f>
        <v>1</v>
      </c>
      <c r="H25" s="16" t="n">
        <f aca="false">COUNTIFS('Tool Map'!$B:$B,"P5",'Tool Map'!$F:$F,"*"&amp;$J25&amp;"*")</f>
        <v>1</v>
      </c>
      <c r="I25" s="17" t="n">
        <f aca="false">SUM(C25:H25)</f>
        <v>8</v>
      </c>
      <c r="J25" s="18" t="s">
        <v>457</v>
      </c>
    </row>
    <row r="26" customFormat="false" ht="15" hidden="false" customHeight="false" outlineLevel="0" collapsed="false">
      <c r="A26" s="4" t="s">
        <v>459</v>
      </c>
      <c r="B26" s="7" t="s">
        <v>460</v>
      </c>
      <c r="C26" s="16" t="n">
        <f aca="false">COUNTIFS('Tool Map'!$B:$B,"P0",'Tool Map'!$F:$F,"*"&amp;$J26&amp;"*")</f>
        <v>1</v>
      </c>
      <c r="D26" s="16" t="n">
        <f aca="false">COUNTIFS('Tool Map'!$B:$B,"P1",'Tool Map'!$F:$F,"*"&amp;$J26&amp;"*")</f>
        <v>0</v>
      </c>
      <c r="E26" s="16" t="n">
        <f aca="false">COUNTIFS('Tool Map'!$B:$B,"P2",'Tool Map'!$F:$F,"*"&amp;$J26&amp;"*")</f>
        <v>0</v>
      </c>
      <c r="F26" s="16" t="n">
        <f aca="false">COUNTIFS('Tool Map'!$B:$B,"P3",'Tool Map'!$F:$F,"*"&amp;$J26&amp;"*")</f>
        <v>0</v>
      </c>
      <c r="G26" s="16" t="n">
        <f aca="false">COUNTIFS('Tool Map'!$B:$B,"P4",'Tool Map'!$F:$F,"*"&amp;$J26&amp;"*")</f>
        <v>0</v>
      </c>
      <c r="H26" s="16" t="n">
        <f aca="false">COUNTIFS('Tool Map'!$B:$B,"P5",'Tool Map'!$F:$F,"*"&amp;$J26&amp;"*")</f>
        <v>0</v>
      </c>
      <c r="I26" s="17" t="n">
        <f aca="false">SUM(C26:H26)</f>
        <v>1</v>
      </c>
      <c r="J26" s="18" t="s">
        <v>459</v>
      </c>
    </row>
    <row r="27" customFormat="false" ht="15" hidden="false" customHeight="false" outlineLevel="0" collapsed="false">
      <c r="A27" s="4" t="s">
        <v>461</v>
      </c>
      <c r="B27" s="7" t="s">
        <v>462</v>
      </c>
      <c r="C27" s="16" t="n">
        <f aca="false">COUNTIFS('Tool Map'!$B:$B,"P0",'Tool Map'!$F:$F,"*"&amp;$J27&amp;"*")</f>
        <v>1</v>
      </c>
      <c r="D27" s="16" t="n">
        <f aca="false">COUNTIFS('Tool Map'!$B:$B,"P1",'Tool Map'!$F:$F,"*"&amp;$J27&amp;"*")</f>
        <v>1</v>
      </c>
      <c r="E27" s="16" t="n">
        <f aca="false">COUNTIFS('Tool Map'!$B:$B,"P2",'Tool Map'!$F:$F,"*"&amp;$J27&amp;"*")</f>
        <v>0</v>
      </c>
      <c r="F27" s="16" t="n">
        <f aca="false">COUNTIFS('Tool Map'!$B:$B,"P3",'Tool Map'!$F:$F,"*"&amp;$J27&amp;"*")</f>
        <v>1</v>
      </c>
      <c r="G27" s="16" t="n">
        <f aca="false">COUNTIFS('Tool Map'!$B:$B,"P4",'Tool Map'!$F:$F,"*"&amp;$J27&amp;"*")</f>
        <v>0</v>
      </c>
      <c r="H27" s="16" t="n">
        <f aca="false">COUNTIFS('Tool Map'!$B:$B,"P5",'Tool Map'!$F:$F,"*"&amp;$J27&amp;"*")</f>
        <v>0</v>
      </c>
      <c r="I27" s="17" t="n">
        <f aca="false">SUM(C27:H27)</f>
        <v>3</v>
      </c>
      <c r="J27" s="18" t="s">
        <v>461</v>
      </c>
    </row>
    <row r="28" customFormat="false" ht="15" hidden="false" customHeight="false" outlineLevel="0" collapsed="false">
      <c r="A28" s="4" t="s">
        <v>463</v>
      </c>
      <c r="B28" s="7" t="s">
        <v>462</v>
      </c>
      <c r="C28" s="16" t="n">
        <f aca="false">COUNTIFS('Tool Map'!$B:$B,"P0",'Tool Map'!$F:$F,"*"&amp;$J28&amp;"*")</f>
        <v>1</v>
      </c>
      <c r="D28" s="16" t="n">
        <f aca="false">COUNTIFS('Tool Map'!$B:$B,"P1",'Tool Map'!$F:$F,"*"&amp;$J28&amp;"*")</f>
        <v>1</v>
      </c>
      <c r="E28" s="16" t="n">
        <f aca="false">COUNTIFS('Tool Map'!$B:$B,"P2",'Tool Map'!$F:$F,"*"&amp;$J28&amp;"*")</f>
        <v>0</v>
      </c>
      <c r="F28" s="16" t="n">
        <f aca="false">COUNTIFS('Tool Map'!$B:$B,"P3",'Tool Map'!$F:$F,"*"&amp;$J28&amp;"*")</f>
        <v>1</v>
      </c>
      <c r="G28" s="16" t="n">
        <f aca="false">COUNTIFS('Tool Map'!$B:$B,"P4",'Tool Map'!$F:$F,"*"&amp;$J28&amp;"*")</f>
        <v>0</v>
      </c>
      <c r="H28" s="16" t="n">
        <f aca="false">COUNTIFS('Tool Map'!$B:$B,"P5",'Tool Map'!$F:$F,"*"&amp;$J28&amp;"*")</f>
        <v>0</v>
      </c>
      <c r="I28" s="17" t="n">
        <f aca="false">SUM(C28:H28)</f>
        <v>3</v>
      </c>
      <c r="J28" s="18" t="s">
        <v>463</v>
      </c>
    </row>
    <row r="29" customFormat="false" ht="15" hidden="false" customHeight="false" outlineLevel="0" collapsed="false">
      <c r="A29" s="4" t="s">
        <v>131</v>
      </c>
      <c r="B29" s="7" t="s">
        <v>464</v>
      </c>
      <c r="C29" s="16" t="n">
        <f aca="false">COUNTIFS('Tool Map'!$B:$B,"P0",'Tool Map'!$F:$F,"*"&amp;$J29&amp;"*")</f>
        <v>0</v>
      </c>
      <c r="D29" s="16" t="n">
        <f aca="false">COUNTIFS('Tool Map'!$B:$B,"P1",'Tool Map'!$F:$F,"*"&amp;$J29&amp;"*")</f>
        <v>1</v>
      </c>
      <c r="E29" s="16" t="n">
        <f aca="false">COUNTIFS('Tool Map'!$B:$B,"P2",'Tool Map'!$F:$F,"*"&amp;$J29&amp;"*")</f>
        <v>0</v>
      </c>
      <c r="F29" s="16" t="n">
        <f aca="false">COUNTIFS('Tool Map'!$B:$B,"P3",'Tool Map'!$F:$F,"*"&amp;$J29&amp;"*")</f>
        <v>0</v>
      </c>
      <c r="G29" s="16" t="n">
        <f aca="false">COUNTIFS('Tool Map'!$B:$B,"P4",'Tool Map'!$F:$F,"*"&amp;$J29&amp;"*")</f>
        <v>1</v>
      </c>
      <c r="H29" s="16" t="n">
        <f aca="false">COUNTIFS('Tool Map'!$B:$B,"P5",'Tool Map'!$F:$F,"*"&amp;$J29&amp;"*")</f>
        <v>0</v>
      </c>
      <c r="I29" s="17" t="n">
        <f aca="false">SUM(C29:H29)</f>
        <v>2</v>
      </c>
      <c r="J29" s="18" t="s">
        <v>131</v>
      </c>
    </row>
    <row r="30" customFormat="false" ht="15" hidden="false" customHeight="false" outlineLevel="0" collapsed="false">
      <c r="A30" s="4" t="s">
        <v>465</v>
      </c>
      <c r="B30" s="7" t="s">
        <v>464</v>
      </c>
      <c r="C30" s="16" t="n">
        <f aca="false">COUNTIFS('Tool Map'!$B:$B,"P0",'Tool Map'!$F:$F,"*"&amp;$J30&amp;"*")</f>
        <v>0</v>
      </c>
      <c r="D30" s="16" t="n">
        <f aca="false">COUNTIFS('Tool Map'!$B:$B,"P1",'Tool Map'!$F:$F,"*"&amp;$J30&amp;"*")</f>
        <v>0</v>
      </c>
      <c r="E30" s="16" t="n">
        <f aca="false">COUNTIFS('Tool Map'!$B:$B,"P2",'Tool Map'!$F:$F,"*"&amp;$J30&amp;"*")</f>
        <v>1</v>
      </c>
      <c r="F30" s="16" t="n">
        <f aca="false">COUNTIFS('Tool Map'!$B:$B,"P3",'Tool Map'!$F:$F,"*"&amp;$J30&amp;"*")</f>
        <v>0</v>
      </c>
      <c r="G30" s="16" t="n">
        <f aca="false">COUNTIFS('Tool Map'!$B:$B,"P4",'Tool Map'!$F:$F,"*"&amp;$J30&amp;"*")</f>
        <v>1</v>
      </c>
      <c r="H30" s="16" t="n">
        <f aca="false">COUNTIFS('Tool Map'!$B:$B,"P5",'Tool Map'!$F:$F,"*"&amp;$J30&amp;"*")</f>
        <v>0</v>
      </c>
      <c r="I30" s="17" t="n">
        <f aca="false">SUM(C30:H30)</f>
        <v>2</v>
      </c>
      <c r="J30" s="18" t="s">
        <v>465</v>
      </c>
    </row>
    <row r="31" customFormat="false" ht="15" hidden="false" customHeight="false" outlineLevel="0" collapsed="false">
      <c r="A31" s="4" t="s">
        <v>466</v>
      </c>
      <c r="B31" s="7" t="s">
        <v>464</v>
      </c>
      <c r="C31" s="16" t="n">
        <f aca="false">COUNTIFS('Tool Map'!$B:$B,"P0",'Tool Map'!$F:$F,"*"&amp;$J31&amp;"*")</f>
        <v>0</v>
      </c>
      <c r="D31" s="16" t="n">
        <f aca="false">COUNTIFS('Tool Map'!$B:$B,"P1",'Tool Map'!$F:$F,"*"&amp;$J31&amp;"*")</f>
        <v>0</v>
      </c>
      <c r="E31" s="16" t="n">
        <f aca="false">COUNTIFS('Tool Map'!$B:$B,"P2",'Tool Map'!$F:$F,"*"&amp;$J31&amp;"*")</f>
        <v>1</v>
      </c>
      <c r="F31" s="16" t="n">
        <f aca="false">COUNTIFS('Tool Map'!$B:$B,"P3",'Tool Map'!$F:$F,"*"&amp;$J31&amp;"*")</f>
        <v>0</v>
      </c>
      <c r="G31" s="16" t="n">
        <f aca="false">COUNTIFS('Tool Map'!$B:$B,"P4",'Tool Map'!$F:$F,"*"&amp;$J31&amp;"*")</f>
        <v>1</v>
      </c>
      <c r="H31" s="16" t="n">
        <f aca="false">COUNTIFS('Tool Map'!$B:$B,"P5",'Tool Map'!$F:$F,"*"&amp;$J31&amp;"*")</f>
        <v>0</v>
      </c>
      <c r="I31" s="17" t="n">
        <f aca="false">SUM(C31:H31)</f>
        <v>2</v>
      </c>
      <c r="J31" s="18" t="s">
        <v>466</v>
      </c>
    </row>
    <row r="32" customFormat="false" ht="15" hidden="false" customHeight="false" outlineLevel="0" collapsed="false">
      <c r="A32" s="4" t="s">
        <v>79</v>
      </c>
      <c r="B32" s="7" t="s">
        <v>467</v>
      </c>
      <c r="C32" s="16" t="n">
        <f aca="false">COUNTIFS('Tool Map'!$B:$B,"P0",'Tool Map'!$F:$F,"*"&amp;$J32&amp;"*")</f>
        <v>1</v>
      </c>
      <c r="D32" s="16" t="n">
        <f aca="false">COUNTIFS('Tool Map'!$B:$B,"P1",'Tool Map'!$F:$F,"*"&amp;$J32&amp;"*")</f>
        <v>0</v>
      </c>
      <c r="E32" s="16" t="n">
        <f aca="false">COUNTIFS('Tool Map'!$B:$B,"P2",'Tool Map'!$F:$F,"*"&amp;$J32&amp;"*")</f>
        <v>0</v>
      </c>
      <c r="F32" s="16" t="n">
        <f aca="false">COUNTIFS('Tool Map'!$B:$B,"P3",'Tool Map'!$F:$F,"*"&amp;$J32&amp;"*")</f>
        <v>0</v>
      </c>
      <c r="G32" s="16" t="n">
        <f aca="false">COUNTIFS('Tool Map'!$B:$B,"P4",'Tool Map'!$F:$F,"*"&amp;$J32&amp;"*")</f>
        <v>2</v>
      </c>
      <c r="H32" s="16" t="n">
        <f aca="false">COUNTIFS('Tool Map'!$B:$B,"P5",'Tool Map'!$F:$F,"*"&amp;$J32&amp;"*")</f>
        <v>1</v>
      </c>
      <c r="I32" s="17" t="n">
        <f aca="false">SUM(C32:H32)</f>
        <v>4</v>
      </c>
      <c r="J32" s="18" t="s">
        <v>79</v>
      </c>
    </row>
    <row r="33" customFormat="false" ht="15" hidden="false" customHeight="false" outlineLevel="0" collapsed="false">
      <c r="A33" s="4" t="s">
        <v>468</v>
      </c>
      <c r="B33" s="7" t="s">
        <v>467</v>
      </c>
      <c r="C33" s="16" t="n">
        <f aca="false">COUNTIFS('Tool Map'!$B:$B,"P0",'Tool Map'!$F:$F,"*"&amp;$J33&amp;"*")</f>
        <v>0</v>
      </c>
      <c r="D33" s="16" t="n">
        <f aca="false">COUNTIFS('Tool Map'!$B:$B,"P1",'Tool Map'!$F:$F,"*"&amp;$J33&amp;"*")</f>
        <v>0</v>
      </c>
      <c r="E33" s="16" t="n">
        <f aca="false">COUNTIFS('Tool Map'!$B:$B,"P2",'Tool Map'!$F:$F,"*"&amp;$J33&amp;"*")</f>
        <v>0</v>
      </c>
      <c r="F33" s="16" t="n">
        <f aca="false">COUNTIFS('Tool Map'!$B:$B,"P3",'Tool Map'!$F:$F,"*"&amp;$J33&amp;"*")</f>
        <v>0</v>
      </c>
      <c r="G33" s="16" t="n">
        <f aca="false">COUNTIFS('Tool Map'!$B:$B,"P4",'Tool Map'!$F:$F,"*"&amp;$J33&amp;"*")</f>
        <v>1</v>
      </c>
      <c r="H33" s="16" t="n">
        <f aca="false">COUNTIFS('Tool Map'!$B:$B,"P5",'Tool Map'!$F:$F,"*"&amp;$J33&amp;"*")</f>
        <v>0</v>
      </c>
      <c r="I33" s="17" t="n">
        <f aca="false">SUM(C33:H33)</f>
        <v>1</v>
      </c>
      <c r="J33" s="18" t="s">
        <v>468</v>
      </c>
    </row>
    <row r="34" customFormat="false" ht="15" hidden="false" customHeight="false" outlineLevel="0" collapsed="false">
      <c r="A34" s="4" t="s">
        <v>469</v>
      </c>
      <c r="B34" s="7" t="s">
        <v>470</v>
      </c>
      <c r="C34" s="16" t="n">
        <f aca="false">COUNTIFS('Tool Map'!$B:$B,"P0",'Tool Map'!$F:$F,"*"&amp;$J34&amp;"*")</f>
        <v>0</v>
      </c>
      <c r="D34" s="16" t="n">
        <f aca="false">COUNTIFS('Tool Map'!$B:$B,"P1",'Tool Map'!$F:$F,"*"&amp;$J34&amp;"*")</f>
        <v>1</v>
      </c>
      <c r="E34" s="16" t="n">
        <f aca="false">COUNTIFS('Tool Map'!$B:$B,"P2",'Tool Map'!$F:$F,"*"&amp;$J34&amp;"*")</f>
        <v>0</v>
      </c>
      <c r="F34" s="16" t="n">
        <f aca="false">COUNTIFS('Tool Map'!$B:$B,"P3",'Tool Map'!$F:$F,"*"&amp;$J34&amp;"*")</f>
        <v>0</v>
      </c>
      <c r="G34" s="16" t="n">
        <f aca="false">COUNTIFS('Tool Map'!$B:$B,"P4",'Tool Map'!$F:$F,"*"&amp;$J34&amp;"*")</f>
        <v>0</v>
      </c>
      <c r="H34" s="16" t="n">
        <f aca="false">COUNTIFS('Tool Map'!$B:$B,"P5",'Tool Map'!$F:$F,"*"&amp;$J34&amp;"*")</f>
        <v>1</v>
      </c>
      <c r="I34" s="17" t="n">
        <f aca="false">SUM(C34:H34)</f>
        <v>2</v>
      </c>
      <c r="J34" s="18" t="s">
        <v>469</v>
      </c>
    </row>
    <row r="35" customFormat="false" ht="15" hidden="false" customHeight="false" outlineLevel="0" collapsed="false">
      <c r="A35" s="4" t="s">
        <v>471</v>
      </c>
      <c r="B35" s="7" t="s">
        <v>472</v>
      </c>
      <c r="C35" s="16" t="n">
        <f aca="false">COUNTIFS('Tool Map'!$B:$B,"P0",'Tool Map'!$F:$F,"*"&amp;$J35&amp;"*")</f>
        <v>0</v>
      </c>
      <c r="D35" s="16" t="n">
        <f aca="false">COUNTIFS('Tool Map'!$B:$B,"P1",'Tool Map'!$F:$F,"*"&amp;$J35&amp;"*")</f>
        <v>1</v>
      </c>
      <c r="E35" s="16" t="n">
        <f aca="false">COUNTIFS('Tool Map'!$B:$B,"P2",'Tool Map'!$F:$F,"*"&amp;$J35&amp;"*")</f>
        <v>0</v>
      </c>
      <c r="F35" s="16" t="n">
        <f aca="false">COUNTIFS('Tool Map'!$B:$B,"P3",'Tool Map'!$F:$F,"*"&amp;$J35&amp;"*")</f>
        <v>0</v>
      </c>
      <c r="G35" s="16" t="n">
        <f aca="false">COUNTIFS('Tool Map'!$B:$B,"P4",'Tool Map'!$F:$F,"*"&amp;$J35&amp;"*")</f>
        <v>0</v>
      </c>
      <c r="H35" s="16" t="n">
        <f aca="false">COUNTIFS('Tool Map'!$B:$B,"P5",'Tool Map'!$F:$F,"*"&amp;$J35&amp;"*")</f>
        <v>1</v>
      </c>
      <c r="I35" s="17" t="n">
        <f aca="false">SUM(C35:H35)</f>
        <v>2</v>
      </c>
      <c r="J35" s="18" t="s">
        <v>471</v>
      </c>
    </row>
    <row r="36" customFormat="false" ht="15" hidden="false" customHeight="false" outlineLevel="0" collapsed="false">
      <c r="A36" s="4" t="s">
        <v>473</v>
      </c>
      <c r="B36" s="7" t="s">
        <v>474</v>
      </c>
      <c r="C36" s="16" t="n">
        <f aca="false">COUNTIFS('Tool Map'!$B:$B,"P0",'Tool Map'!$F:$F,"*"&amp;$J36&amp;"*")</f>
        <v>0</v>
      </c>
      <c r="D36" s="16" t="n">
        <f aca="false">COUNTIFS('Tool Map'!$B:$B,"P1",'Tool Map'!$F:$F,"*"&amp;$J36&amp;"*")</f>
        <v>0</v>
      </c>
      <c r="E36" s="16" t="n">
        <f aca="false">COUNTIFS('Tool Map'!$B:$B,"P2",'Tool Map'!$F:$F,"*"&amp;$J36&amp;"*")</f>
        <v>0</v>
      </c>
      <c r="F36" s="16" t="n">
        <f aca="false">COUNTIFS('Tool Map'!$B:$B,"P3",'Tool Map'!$F:$F,"*"&amp;$J36&amp;"*")</f>
        <v>1</v>
      </c>
      <c r="G36" s="16" t="n">
        <f aca="false">COUNTIFS('Tool Map'!$B:$B,"P4",'Tool Map'!$F:$F,"*"&amp;$J36&amp;"*")</f>
        <v>0</v>
      </c>
      <c r="H36" s="16" t="n">
        <f aca="false">COUNTIFS('Tool Map'!$B:$B,"P5",'Tool Map'!$F:$F,"*"&amp;$J36&amp;"*")</f>
        <v>0</v>
      </c>
      <c r="I36" s="17" t="n">
        <f aca="false">SUM(C36:H36)</f>
        <v>1</v>
      </c>
      <c r="J36" s="18" t="s">
        <v>473</v>
      </c>
    </row>
    <row r="37" customFormat="false" ht="15" hidden="false" customHeight="false" outlineLevel="0" collapsed="false">
      <c r="A37" s="4" t="s">
        <v>475</v>
      </c>
      <c r="B37" s="7" t="s">
        <v>474</v>
      </c>
      <c r="C37" s="16" t="n">
        <f aca="false">COUNTIFS('Tool Map'!$B:$B,"P0",'Tool Map'!$F:$F,"*"&amp;$J37&amp;"*")</f>
        <v>0</v>
      </c>
      <c r="D37" s="16" t="n">
        <f aca="false">COUNTIFS('Tool Map'!$B:$B,"P1",'Tool Map'!$F:$F,"*"&amp;$J37&amp;"*")</f>
        <v>0</v>
      </c>
      <c r="E37" s="16" t="n">
        <f aca="false">COUNTIFS('Tool Map'!$B:$B,"P2",'Tool Map'!$F:$F,"*"&amp;$J37&amp;"*")</f>
        <v>0</v>
      </c>
      <c r="F37" s="16" t="n">
        <f aca="false">COUNTIFS('Tool Map'!$B:$B,"P3",'Tool Map'!$F:$F,"*"&amp;$J37&amp;"*")</f>
        <v>1</v>
      </c>
      <c r="G37" s="16" t="n">
        <f aca="false">COUNTIFS('Tool Map'!$B:$B,"P4",'Tool Map'!$F:$F,"*"&amp;$J37&amp;"*")</f>
        <v>0</v>
      </c>
      <c r="H37" s="16" t="n">
        <f aca="false">COUNTIFS('Tool Map'!$B:$B,"P5",'Tool Map'!$F:$F,"*"&amp;$J37&amp;"*")</f>
        <v>0</v>
      </c>
      <c r="I37" s="17" t="n">
        <f aca="false">SUM(C37:H37)</f>
        <v>1</v>
      </c>
      <c r="J37" s="18" t="s">
        <v>475</v>
      </c>
    </row>
    <row r="39" customFormat="false" ht="15" hidden="false" customHeight="false" outlineLevel="0" collapsed="false">
      <c r="A39" s="2" t="s">
        <v>476</v>
      </c>
    </row>
  </sheetData>
  <autoFilter ref="A1:J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64"/>
  </cols>
  <sheetData>
    <row r="1" customFormat="false" ht="15" hidden="false" customHeight="false" outlineLevel="0" collapsed="false">
      <c r="A1" s="3" t="s">
        <v>477</v>
      </c>
      <c r="B1" s="3" t="s">
        <v>34</v>
      </c>
      <c r="C1" s="3" t="s">
        <v>478</v>
      </c>
      <c r="D1" s="3" t="s">
        <v>479</v>
      </c>
      <c r="E1" s="3" t="s">
        <v>480</v>
      </c>
      <c r="F1" s="3" t="s">
        <v>481</v>
      </c>
    </row>
    <row r="2" customFormat="false" ht="15" hidden="false" customHeight="false" outlineLevel="0" collapsed="false">
      <c r="A2" s="13" t="s">
        <v>482</v>
      </c>
      <c r="B2" s="13" t="s">
        <v>135</v>
      </c>
      <c r="C2" s="13" t="s">
        <v>11</v>
      </c>
      <c r="D2" s="13" t="s">
        <v>21</v>
      </c>
      <c r="E2" s="13" t="s">
        <v>13</v>
      </c>
      <c r="F2" s="13" t="s">
        <v>483</v>
      </c>
    </row>
    <row r="3" customFormat="false" ht="15" hidden="false" customHeight="false" outlineLevel="0" collapsed="false">
      <c r="A3" s="13" t="s">
        <v>484</v>
      </c>
      <c r="B3" s="13" t="s">
        <v>140</v>
      </c>
      <c r="C3" s="13" t="s">
        <v>11</v>
      </c>
      <c r="D3" s="13" t="s">
        <v>21</v>
      </c>
      <c r="E3" s="13" t="s">
        <v>13</v>
      </c>
      <c r="F3" s="13" t="s">
        <v>485</v>
      </c>
    </row>
    <row r="4" customFormat="false" ht="15" hidden="false" customHeight="false" outlineLevel="0" collapsed="false">
      <c r="A4" s="13" t="s">
        <v>144</v>
      </c>
      <c r="B4" s="13" t="s">
        <v>145</v>
      </c>
      <c r="C4" s="13" t="s">
        <v>11</v>
      </c>
      <c r="D4" s="13" t="s">
        <v>21</v>
      </c>
      <c r="E4" s="13" t="s">
        <v>13</v>
      </c>
      <c r="F4" s="13" t="s">
        <v>486</v>
      </c>
    </row>
    <row r="5" customFormat="false" ht="23.85" hidden="false" customHeight="false" outlineLevel="0" collapsed="false">
      <c r="A5" s="13" t="s">
        <v>149</v>
      </c>
      <c r="B5" s="13" t="s">
        <v>150</v>
      </c>
      <c r="C5" s="13" t="s">
        <v>11</v>
      </c>
      <c r="D5" s="13" t="s">
        <v>21</v>
      </c>
      <c r="E5" s="13" t="s">
        <v>13</v>
      </c>
      <c r="F5" s="13" t="s">
        <v>487</v>
      </c>
    </row>
    <row r="6" customFormat="false" ht="15" hidden="false" customHeight="false" outlineLevel="0" collapsed="false">
      <c r="A6" s="13" t="s">
        <v>488</v>
      </c>
      <c r="B6" s="13" t="s">
        <v>196</v>
      </c>
      <c r="C6" s="13" t="s">
        <v>489</v>
      </c>
      <c r="D6" s="13" t="s">
        <v>21</v>
      </c>
      <c r="E6" s="13" t="s">
        <v>490</v>
      </c>
      <c r="F6" s="13" t="s">
        <v>491</v>
      </c>
    </row>
    <row r="7" customFormat="false" ht="15" hidden="false" customHeight="false" outlineLevel="0" collapsed="false">
      <c r="A7" s="13" t="s">
        <v>492</v>
      </c>
      <c r="B7" s="13" t="s">
        <v>247</v>
      </c>
      <c r="C7" s="13" t="s">
        <v>17</v>
      </c>
      <c r="D7" s="13" t="s">
        <v>21</v>
      </c>
      <c r="E7" s="13" t="s">
        <v>17</v>
      </c>
      <c r="F7" s="13" t="s">
        <v>493</v>
      </c>
    </row>
    <row r="8" customFormat="false" ht="15" hidden="false" customHeight="false" outlineLevel="0" collapsed="false">
      <c r="A8" s="13" t="s">
        <v>296</v>
      </c>
      <c r="B8" s="13" t="s">
        <v>297</v>
      </c>
      <c r="C8" s="13" t="s">
        <v>15</v>
      </c>
      <c r="D8" s="13" t="s">
        <v>21</v>
      </c>
      <c r="E8" s="13" t="s">
        <v>21</v>
      </c>
      <c r="F8" s="13" t="s">
        <v>494</v>
      </c>
    </row>
    <row r="9" customFormat="false" ht="15" hidden="false" customHeight="false" outlineLevel="0" collapsed="false">
      <c r="A9" s="13" t="s">
        <v>301</v>
      </c>
      <c r="B9" s="13" t="s">
        <v>302</v>
      </c>
      <c r="C9" s="13" t="s">
        <v>15</v>
      </c>
      <c r="D9" s="13" t="s">
        <v>21</v>
      </c>
      <c r="E9" s="13" t="s">
        <v>21</v>
      </c>
      <c r="F9" s="13" t="s">
        <v>495</v>
      </c>
    </row>
    <row r="10" customFormat="false" ht="23.85" hidden="false" customHeight="false" outlineLevel="0" collapsed="false">
      <c r="A10" s="13" t="s">
        <v>496</v>
      </c>
      <c r="B10" s="13" t="s">
        <v>497</v>
      </c>
      <c r="C10" s="13" t="s">
        <v>19</v>
      </c>
      <c r="D10" s="13" t="s">
        <v>21</v>
      </c>
      <c r="E10" s="13" t="s">
        <v>21</v>
      </c>
      <c r="F10" s="13" t="s">
        <v>498</v>
      </c>
    </row>
    <row r="11" customFormat="false" ht="23.85" hidden="false" customHeight="false" outlineLevel="0" collapsed="false">
      <c r="A11" s="13" t="s">
        <v>499</v>
      </c>
      <c r="B11" s="13" t="s">
        <v>500</v>
      </c>
      <c r="C11" s="13" t="s">
        <v>21</v>
      </c>
      <c r="D11" s="13" t="s">
        <v>19</v>
      </c>
      <c r="E11" s="13" t="s">
        <v>19</v>
      </c>
      <c r="F11" s="13" t="s">
        <v>501</v>
      </c>
    </row>
    <row r="12" customFormat="false" ht="15" hidden="false" customHeight="false" outlineLevel="0" collapsed="false">
      <c r="A12" s="13" t="s">
        <v>335</v>
      </c>
      <c r="B12" s="13" t="s">
        <v>336</v>
      </c>
      <c r="C12" s="13" t="s">
        <v>21</v>
      </c>
      <c r="D12" s="13" t="s">
        <v>21</v>
      </c>
      <c r="E12" s="13" t="s">
        <v>21</v>
      </c>
      <c r="F12" s="13" t="s">
        <v>502</v>
      </c>
    </row>
    <row r="14" customFormat="false" ht="15" hidden="false" customHeight="false" outlineLevel="0" collapsed="false">
      <c r="A14" s="2" t="s">
        <v>503</v>
      </c>
    </row>
    <row r="15" customFormat="false" ht="15" hidden="false" customHeight="false" outlineLevel="0" collapsed="false">
      <c r="A15" s="2" t="s">
        <v>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2026-10-04T10:00:41Z</dcterms:created>
  <dc:creator>openpyxl</dc:creator>
  <dc:description/>
  <dc:language>en-US</dc:language>
  <cp:lastModifiedBy/>
  <dcterms:modified xsi:type="dcterms:W3CDTF">2026-10-04T10:00:41Z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